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BCAcademy_PJ1\data\"/>
    </mc:Choice>
  </mc:AlternateContent>
  <xr:revisionPtr revIDLastSave="0" documentId="8_{4CFC1153-4E83-4F0D-B046-4D034411239C}" xr6:coauthVersionLast="47" xr6:coauthVersionMax="47" xr10:uidLastSave="{00000000-0000-0000-0000-000000000000}"/>
  <bookViews>
    <workbookView xWindow="-120" yWindow="-120" windowWidth="29040" windowHeight="15720" activeTab="1" xr2:uid="{CB6CD010-99D5-44A8-A0CD-22251E1AAB02}"/>
  </bookViews>
  <sheets>
    <sheet name="Sheet1" sheetId="1" r:id="rId1"/>
    <sheet name="교통량증감률(2021-2024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2" l="1"/>
  <c r="F23" i="2"/>
  <c r="F24" i="2"/>
  <c r="F25" i="2"/>
  <c r="F26" i="2"/>
  <c r="F21" i="2"/>
  <c r="E22" i="2"/>
  <c r="E23" i="2"/>
  <c r="E24" i="2"/>
  <c r="E25" i="2"/>
  <c r="E26" i="2"/>
  <c r="E21" i="2"/>
  <c r="F13" i="2"/>
  <c r="F14" i="2"/>
  <c r="F15" i="2"/>
  <c r="F16" i="2"/>
  <c r="F17" i="2"/>
  <c r="F12" i="2"/>
  <c r="E13" i="2"/>
  <c r="E14" i="2"/>
  <c r="E15" i="2"/>
  <c r="E16" i="2"/>
  <c r="E17" i="2"/>
  <c r="E12" i="2"/>
  <c r="O3" i="1"/>
  <c r="O4" i="1"/>
  <c r="O5" i="1"/>
  <c r="O6" i="1"/>
  <c r="O7" i="1"/>
  <c r="M3" i="1"/>
  <c r="M4" i="1"/>
  <c r="M5" i="1"/>
  <c r="M6" i="1"/>
  <c r="M7" i="1"/>
  <c r="M2" i="1"/>
  <c r="L3" i="1"/>
  <c r="L4" i="1"/>
  <c r="L5" i="1"/>
  <c r="L6" i="1"/>
  <c r="L7" i="1"/>
  <c r="L2" i="1"/>
  <c r="J2" i="1"/>
  <c r="K2" i="1"/>
  <c r="J3" i="1"/>
  <c r="K3" i="1"/>
  <c r="J4" i="1"/>
  <c r="K4" i="1"/>
  <c r="J5" i="1"/>
  <c r="K5" i="1"/>
  <c r="J6" i="1"/>
  <c r="K6" i="1"/>
  <c r="J7" i="1"/>
  <c r="K7" i="1"/>
  <c r="I3" i="1"/>
  <c r="I4" i="1"/>
  <c r="I5" i="1"/>
  <c r="I6" i="1"/>
  <c r="I7" i="1"/>
  <c r="I2" i="1"/>
</calcChain>
</file>

<file path=xl/sharedStrings.xml><?xml version="1.0" encoding="utf-8"?>
<sst xmlns="http://schemas.openxmlformats.org/spreadsheetml/2006/main" count="75" uniqueCount="25">
  <si>
    <t>유형</t>
  </si>
  <si>
    <t>지점수</t>
  </si>
  <si>
    <t>2023년 (양방)</t>
  </si>
  <si>
    <t>2024년 (양방)</t>
  </si>
  <si>
    <t>증감 수치</t>
  </si>
  <si>
    <t>증감률(%)</t>
  </si>
  <si>
    <t>계 (전체)</t>
  </si>
  <si>
    <t>도심</t>
  </si>
  <si>
    <t>시계</t>
  </si>
  <si>
    <t>교량</t>
  </si>
  <si>
    <t>간선</t>
  </si>
  <si>
    <t>도시고속</t>
  </si>
  <si>
    <t>구분(유형)</t>
  </si>
  <si>
    <t>2023년(양방)</t>
  </si>
  <si>
    <t>2024년(양방)</t>
  </si>
  <si>
    <t>증감(양방)</t>
  </si>
  <si>
    <t>증감률</t>
  </si>
  <si>
    <t>계 (합계)</t>
  </si>
  <si>
    <t>지점</t>
  </si>
  <si>
    <t>2022년(양방)</t>
  </si>
  <si>
    <t>계</t>
  </si>
  <si>
    <t>22-23</t>
    <phoneticPr fontId="2" type="noConversion"/>
  </si>
  <si>
    <t>2021년(양방)</t>
  </si>
  <si>
    <t>21-22</t>
    <phoneticPr fontId="2" type="noConversion"/>
  </si>
  <si>
    <t>23-24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</si>
</sst>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10" fontId="0" fillId="0" borderId="0" xfId="0" applyNumberFormat="1">
      <alignment vertical="center"/>
    </xf>
    <xf numFmtId="10" fontId="1" fillId="0" borderId="1" xfId="0" applyNumberFormat="1" applyFont="1" applyBorder="1" applyAlignment="1">
      <alignment horizontal="right" wrapText="1"/>
    </xf>
    <xf numFmtId="3" fontId="0" fillId="0" borderId="0" xfId="0" applyNumberFormat="1">
      <alignment vertical="center"/>
    </xf>
    <xf numFmtId="0" fontId="1" fillId="0" borderId="0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D92B-73EA-49D4-AE98-34A6DC61B261}">
  <dimension ref="A1:O16"/>
  <sheetViews>
    <sheetView workbookViewId="0">
      <selection activeCell="M2" sqref="M2"/>
    </sheetView>
  </sheetViews>
  <sheetFormatPr defaultRowHeight="16.5" x14ac:dyDescent="0.3"/>
  <cols>
    <col min="1" max="1" width="7.125" bestFit="1" customWidth="1"/>
    <col min="2" max="2" width="5.625" bestFit="1" customWidth="1"/>
    <col min="4" max="4" width="8.75" bestFit="1" customWidth="1"/>
  </cols>
  <sheetData>
    <row r="1" spans="1:15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5" ht="17.25" thickBot="1" x14ac:dyDescent="0.25">
      <c r="A2" s="1" t="s">
        <v>6</v>
      </c>
      <c r="B2" s="2">
        <v>135</v>
      </c>
      <c r="C2" s="3">
        <v>10007</v>
      </c>
      <c r="D2" s="3">
        <v>9953</v>
      </c>
      <c r="E2" s="2">
        <v>-54</v>
      </c>
      <c r="F2" s="5">
        <v>-5.0000000000000001E-3</v>
      </c>
      <c r="H2" s="1" t="s">
        <v>6</v>
      </c>
      <c r="I2">
        <f>B2+B11</f>
        <v>270</v>
      </c>
      <c r="J2">
        <f t="shared" ref="J2:K7" si="0">C2+C11</f>
        <v>18772</v>
      </c>
      <c r="K2">
        <f t="shared" si="0"/>
        <v>18708</v>
      </c>
      <c r="L2">
        <f>K2-J2</f>
        <v>-64</v>
      </c>
      <c r="M2">
        <f>((K2-J2)/J2)*100</f>
        <v>-0.34093330492222457</v>
      </c>
      <c r="O2" s="4"/>
    </row>
    <row r="3" spans="1:15" ht="17.25" thickBot="1" x14ac:dyDescent="0.25">
      <c r="A3" s="1" t="s">
        <v>7</v>
      </c>
      <c r="B3" s="2">
        <v>24</v>
      </c>
      <c r="C3" s="2">
        <v>974</v>
      </c>
      <c r="D3" s="2">
        <v>971</v>
      </c>
      <c r="E3" s="2">
        <v>-3</v>
      </c>
      <c r="F3" s="5">
        <v>-3.0000000000000001E-3</v>
      </c>
      <c r="H3" s="1" t="s">
        <v>7</v>
      </c>
      <c r="I3">
        <f t="shared" ref="I3:I7" si="1">B3+B12</f>
        <v>48</v>
      </c>
      <c r="J3">
        <f t="shared" si="0"/>
        <v>1747</v>
      </c>
      <c r="K3">
        <f t="shared" si="0"/>
        <v>1742</v>
      </c>
      <c r="L3">
        <f t="shared" ref="L3:L7" si="2">K3-J3</f>
        <v>-5</v>
      </c>
      <c r="M3">
        <f t="shared" ref="M3:M7" si="3">((K3-J3)/J3)*100</f>
        <v>-0.28620492272467085</v>
      </c>
      <c r="O3" s="4">
        <f t="shared" ref="O3:O7" si="4">F3+F12</f>
        <v>-1.0999999999999999E-2</v>
      </c>
    </row>
    <row r="4" spans="1:15" ht="17.25" thickBot="1" x14ac:dyDescent="0.25">
      <c r="A4" s="1" t="s">
        <v>8</v>
      </c>
      <c r="B4" s="2">
        <v>38</v>
      </c>
      <c r="C4" s="3">
        <v>2951</v>
      </c>
      <c r="D4" s="3">
        <v>2937</v>
      </c>
      <c r="E4" s="2">
        <v>-14</v>
      </c>
      <c r="F4" s="5">
        <v>-5.0000000000000001E-3</v>
      </c>
      <c r="H4" s="1" t="s">
        <v>8</v>
      </c>
      <c r="I4">
        <f t="shared" si="1"/>
        <v>76</v>
      </c>
      <c r="J4">
        <f t="shared" si="0"/>
        <v>5554</v>
      </c>
      <c r="K4">
        <f t="shared" si="0"/>
        <v>5545</v>
      </c>
      <c r="L4">
        <f t="shared" si="2"/>
        <v>-9</v>
      </c>
      <c r="M4">
        <f t="shared" si="3"/>
        <v>-0.16204537270435723</v>
      </c>
      <c r="O4" s="4">
        <f t="shared" si="4"/>
        <v>-3.0000000000000001E-3</v>
      </c>
    </row>
    <row r="5" spans="1:15" ht="17.25" thickBot="1" x14ac:dyDescent="0.25">
      <c r="A5" s="1" t="s">
        <v>9</v>
      </c>
      <c r="B5" s="2">
        <v>21</v>
      </c>
      <c r="C5" s="3">
        <v>1895</v>
      </c>
      <c r="D5" s="3">
        <v>1877</v>
      </c>
      <c r="E5" s="2">
        <v>-18</v>
      </c>
      <c r="F5" s="5">
        <v>-8.9999999999999993E-3</v>
      </c>
      <c r="H5" s="1" t="s">
        <v>9</v>
      </c>
      <c r="I5">
        <f t="shared" si="1"/>
        <v>42</v>
      </c>
      <c r="J5">
        <f t="shared" si="0"/>
        <v>3517</v>
      </c>
      <c r="K5">
        <f t="shared" si="0"/>
        <v>3492</v>
      </c>
      <c r="L5">
        <f t="shared" si="2"/>
        <v>-25</v>
      </c>
      <c r="M5">
        <f t="shared" si="3"/>
        <v>-0.71083309638896786</v>
      </c>
      <c r="O5" s="4">
        <f t="shared" si="4"/>
        <v>-1.2999999999999999E-2</v>
      </c>
    </row>
    <row r="6" spans="1:15" ht="17.25" thickBot="1" x14ac:dyDescent="0.25">
      <c r="A6" s="1" t="s">
        <v>10</v>
      </c>
      <c r="B6" s="2">
        <v>42</v>
      </c>
      <c r="C6" s="3">
        <v>2805</v>
      </c>
      <c r="D6" s="3">
        <v>2790</v>
      </c>
      <c r="E6" s="2">
        <v>-15</v>
      </c>
      <c r="F6" s="5">
        <v>-5.0000000000000001E-3</v>
      </c>
      <c r="H6" s="1" t="s">
        <v>10</v>
      </c>
      <c r="I6">
        <f t="shared" si="1"/>
        <v>84</v>
      </c>
      <c r="J6">
        <f t="shared" si="0"/>
        <v>5261</v>
      </c>
      <c r="K6">
        <f t="shared" si="0"/>
        <v>5237</v>
      </c>
      <c r="L6">
        <f t="shared" si="2"/>
        <v>-24</v>
      </c>
      <c r="M6">
        <f t="shared" si="3"/>
        <v>-0.45618703668504085</v>
      </c>
      <c r="O6" s="4">
        <f t="shared" si="4"/>
        <v>-9.0000000000000011E-3</v>
      </c>
    </row>
    <row r="7" spans="1:15" ht="17.25" thickBot="1" x14ac:dyDescent="0.25">
      <c r="A7" s="1" t="s">
        <v>11</v>
      </c>
      <c r="B7" s="2">
        <v>10</v>
      </c>
      <c r="C7" s="3">
        <v>1382</v>
      </c>
      <c r="D7" s="3">
        <v>1378</v>
      </c>
      <c r="E7" s="2">
        <v>-4</v>
      </c>
      <c r="F7" s="5">
        <v>-3.0000000000000001E-3</v>
      </c>
      <c r="H7" s="1" t="s">
        <v>11</v>
      </c>
      <c r="I7">
        <f t="shared" si="1"/>
        <v>20</v>
      </c>
      <c r="J7">
        <f t="shared" si="0"/>
        <v>2693</v>
      </c>
      <c r="K7">
        <f t="shared" si="0"/>
        <v>2692</v>
      </c>
      <c r="L7">
        <f t="shared" si="2"/>
        <v>-1</v>
      </c>
      <c r="M7">
        <f t="shared" si="3"/>
        <v>-3.7133308577794281E-2</v>
      </c>
      <c r="O7" s="4">
        <f t="shared" si="4"/>
        <v>-1E-3</v>
      </c>
    </row>
    <row r="9" spans="1:15" ht="17.25" thickBot="1" x14ac:dyDescent="0.35"/>
    <row r="10" spans="1:15" ht="26.25" thickBot="1" x14ac:dyDescent="0.25">
      <c r="A10" s="1" t="s">
        <v>12</v>
      </c>
      <c r="B10" s="1" t="s">
        <v>1</v>
      </c>
      <c r="C10" s="1" t="s">
        <v>13</v>
      </c>
      <c r="D10" s="1" t="s">
        <v>14</v>
      </c>
      <c r="E10" s="1" t="s">
        <v>15</v>
      </c>
      <c r="F10" s="1" t="s">
        <v>16</v>
      </c>
    </row>
    <row r="11" spans="1:15" ht="17.25" thickBot="1" x14ac:dyDescent="0.25">
      <c r="A11" s="1" t="s">
        <v>17</v>
      </c>
      <c r="B11" s="2">
        <v>135</v>
      </c>
      <c r="C11" s="3">
        <v>8765</v>
      </c>
      <c r="D11" s="3">
        <v>8755</v>
      </c>
      <c r="E11" s="2">
        <v>-10</v>
      </c>
      <c r="F11" s="5">
        <v>-1E-3</v>
      </c>
    </row>
    <row r="12" spans="1:15" ht="17.25" thickBot="1" x14ac:dyDescent="0.25">
      <c r="A12" s="1" t="s">
        <v>7</v>
      </c>
      <c r="B12" s="2">
        <v>24</v>
      </c>
      <c r="C12" s="2">
        <v>773</v>
      </c>
      <c r="D12" s="2">
        <v>771</v>
      </c>
      <c r="E12" s="2">
        <v>-2</v>
      </c>
      <c r="F12" s="5">
        <v>-8.0000000000000002E-3</v>
      </c>
    </row>
    <row r="13" spans="1:15" ht="17.25" thickBot="1" x14ac:dyDescent="0.25">
      <c r="A13" s="1" t="s">
        <v>8</v>
      </c>
      <c r="B13" s="2">
        <v>38</v>
      </c>
      <c r="C13" s="3">
        <v>2603</v>
      </c>
      <c r="D13" s="3">
        <v>2608</v>
      </c>
      <c r="E13" s="2">
        <v>5</v>
      </c>
      <c r="F13" s="5">
        <v>2E-3</v>
      </c>
    </row>
    <row r="14" spans="1:15" ht="17.25" thickBot="1" x14ac:dyDescent="0.25">
      <c r="A14" s="1" t="s">
        <v>9</v>
      </c>
      <c r="B14" s="2">
        <v>21</v>
      </c>
      <c r="C14" s="3">
        <v>1622</v>
      </c>
      <c r="D14" s="3">
        <v>1615</v>
      </c>
      <c r="E14" s="2">
        <v>-7</v>
      </c>
      <c r="F14" s="5">
        <v>-4.0000000000000001E-3</v>
      </c>
    </row>
    <row r="15" spans="1:15" ht="17.25" thickBot="1" x14ac:dyDescent="0.25">
      <c r="A15" s="1" t="s">
        <v>10</v>
      </c>
      <c r="B15" s="2">
        <v>42</v>
      </c>
      <c r="C15" s="3">
        <v>2456</v>
      </c>
      <c r="D15" s="3">
        <v>2447</v>
      </c>
      <c r="E15" s="2">
        <v>-9</v>
      </c>
      <c r="F15" s="5">
        <v>-4.0000000000000001E-3</v>
      </c>
    </row>
    <row r="16" spans="1:15" ht="17.25" thickBot="1" x14ac:dyDescent="0.25">
      <c r="A16" s="1" t="s">
        <v>11</v>
      </c>
      <c r="B16" s="2">
        <v>10</v>
      </c>
      <c r="C16" s="3">
        <v>1311</v>
      </c>
      <c r="D16" s="3">
        <v>1314</v>
      </c>
      <c r="E16" s="2">
        <v>3</v>
      </c>
      <c r="F16" s="5">
        <v>2E-3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A3A8-70C8-4CC3-80F7-AF4B4DA38A8F}">
  <dimension ref="A1:V26"/>
  <sheetViews>
    <sheetView tabSelected="1" workbookViewId="0">
      <selection activeCell="J8" sqref="J8"/>
    </sheetView>
  </sheetViews>
  <sheetFormatPr defaultRowHeight="16.5" x14ac:dyDescent="0.3"/>
  <cols>
    <col min="6" max="6" width="9" customWidth="1"/>
  </cols>
  <sheetData>
    <row r="1" spans="1:22" ht="17.25" thickBot="1" x14ac:dyDescent="0.35">
      <c r="A1" t="s">
        <v>24</v>
      </c>
    </row>
    <row r="2" spans="1:22" ht="26.25" thickBo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22" ht="17.25" thickBot="1" x14ac:dyDescent="0.25">
      <c r="A3" s="1" t="s">
        <v>6</v>
      </c>
      <c r="B3">
        <v>270</v>
      </c>
      <c r="C3">
        <v>18772</v>
      </c>
      <c r="D3">
        <v>18708</v>
      </c>
      <c r="E3">
        <v>-64</v>
      </c>
      <c r="F3">
        <v>-0.34093330492222457</v>
      </c>
    </row>
    <row r="4" spans="1:22" ht="17.25" thickBot="1" x14ac:dyDescent="0.25">
      <c r="A4" s="1" t="s">
        <v>7</v>
      </c>
      <c r="B4">
        <v>48</v>
      </c>
      <c r="C4">
        <v>1747</v>
      </c>
      <c r="D4">
        <v>1742</v>
      </c>
      <c r="E4">
        <v>-5</v>
      </c>
      <c r="F4">
        <v>-0.28620492272467085</v>
      </c>
    </row>
    <row r="5" spans="1:22" ht="17.25" thickBot="1" x14ac:dyDescent="0.25">
      <c r="A5" s="1" t="s">
        <v>8</v>
      </c>
      <c r="B5">
        <v>76</v>
      </c>
      <c r="C5">
        <v>5554</v>
      </c>
      <c r="D5">
        <v>5545</v>
      </c>
      <c r="E5">
        <v>-9</v>
      </c>
      <c r="F5">
        <v>-0.16204537270435723</v>
      </c>
    </row>
    <row r="6" spans="1:22" ht="17.25" thickBot="1" x14ac:dyDescent="0.25">
      <c r="A6" s="1" t="s">
        <v>9</v>
      </c>
      <c r="B6">
        <v>42</v>
      </c>
      <c r="C6">
        <v>3517</v>
      </c>
      <c r="D6">
        <v>3492</v>
      </c>
      <c r="E6">
        <v>-25</v>
      </c>
      <c r="F6">
        <v>-0.71083309638896786</v>
      </c>
    </row>
    <row r="7" spans="1:22" ht="17.25" thickBot="1" x14ac:dyDescent="0.25">
      <c r="A7" s="1" t="s">
        <v>10</v>
      </c>
      <c r="B7">
        <v>84</v>
      </c>
      <c r="C7">
        <v>5261</v>
      </c>
      <c r="D7">
        <v>5237</v>
      </c>
      <c r="E7">
        <v>-24</v>
      </c>
      <c r="F7">
        <v>-0.45618703668504085</v>
      </c>
    </row>
    <row r="8" spans="1:22" ht="17.25" thickBot="1" x14ac:dyDescent="0.25">
      <c r="A8" s="1" t="s">
        <v>11</v>
      </c>
      <c r="B8">
        <v>20</v>
      </c>
      <c r="C8">
        <v>2693</v>
      </c>
      <c r="D8">
        <v>2692</v>
      </c>
      <c r="E8">
        <v>-1</v>
      </c>
      <c r="F8">
        <v>-3.7133308577794281E-2</v>
      </c>
    </row>
    <row r="10" spans="1:22" ht="17.25" thickBot="1" x14ac:dyDescent="0.25">
      <c r="A10" s="7" t="s">
        <v>21</v>
      </c>
    </row>
    <row r="11" spans="1:22" ht="26.25" thickBot="1" x14ac:dyDescent="0.25">
      <c r="A11" s="1" t="s">
        <v>12</v>
      </c>
      <c r="B11" s="1" t="s">
        <v>18</v>
      </c>
      <c r="C11" s="1" t="s">
        <v>19</v>
      </c>
      <c r="D11" s="1" t="s">
        <v>13</v>
      </c>
      <c r="E11" s="1" t="s">
        <v>4</v>
      </c>
      <c r="F11" s="1" t="s">
        <v>5</v>
      </c>
      <c r="O11" s="1"/>
      <c r="P11" s="1"/>
      <c r="R11" s="1"/>
      <c r="S11" s="1"/>
      <c r="T11" s="1"/>
      <c r="U11" s="1"/>
      <c r="V11" s="1"/>
    </row>
    <row r="12" spans="1:22" ht="17.25" thickBot="1" x14ac:dyDescent="0.25">
      <c r="A12" s="1" t="s">
        <v>20</v>
      </c>
      <c r="B12" s="2">
        <v>139</v>
      </c>
      <c r="C12" s="3">
        <v>10188</v>
      </c>
      <c r="D12" s="3">
        <v>10265</v>
      </c>
      <c r="E12" s="6">
        <f>D12-C12</f>
        <v>77</v>
      </c>
      <c r="F12">
        <f>((D12-C12)/C12)*100</f>
        <v>0.7557911268158618</v>
      </c>
      <c r="O12" s="3"/>
      <c r="P12" s="3"/>
      <c r="R12" s="3"/>
      <c r="S12" s="3"/>
      <c r="T12" s="1"/>
      <c r="U12" s="1"/>
      <c r="V12" s="1"/>
    </row>
    <row r="13" spans="1:22" ht="17.25" thickBot="1" x14ac:dyDescent="0.25">
      <c r="A13" s="1" t="s">
        <v>7</v>
      </c>
      <c r="B13" s="2">
        <v>24</v>
      </c>
      <c r="C13" s="2">
        <v>953</v>
      </c>
      <c r="D13" s="2">
        <v>974</v>
      </c>
      <c r="E13" s="6">
        <f t="shared" ref="E13:E17" si="0">D13-C13</f>
        <v>21</v>
      </c>
      <c r="F13">
        <f t="shared" ref="F13:F17" si="1">((D13-C13)/C13)*100</f>
        <v>2.2035676810073452</v>
      </c>
      <c r="O13" s="2"/>
      <c r="P13" s="2"/>
      <c r="R13" s="2"/>
      <c r="S13" s="2"/>
      <c r="T13" s="1"/>
      <c r="U13" s="1"/>
      <c r="V13" s="1"/>
    </row>
    <row r="14" spans="1:22" ht="17.25" thickBot="1" x14ac:dyDescent="0.25">
      <c r="A14" s="1" t="s">
        <v>8</v>
      </c>
      <c r="B14" s="2">
        <v>38</v>
      </c>
      <c r="C14" s="3">
        <v>2920</v>
      </c>
      <c r="D14" s="3">
        <v>2951</v>
      </c>
      <c r="E14" s="6">
        <f t="shared" si="0"/>
        <v>31</v>
      </c>
      <c r="F14">
        <f t="shared" si="1"/>
        <v>1.0616438356164384</v>
      </c>
      <c r="O14" s="3"/>
      <c r="P14" s="3"/>
      <c r="R14" s="3"/>
      <c r="S14" s="3"/>
      <c r="T14" s="1"/>
      <c r="U14" s="1"/>
      <c r="V14" s="1"/>
    </row>
    <row r="15" spans="1:22" ht="17.25" thickBot="1" x14ac:dyDescent="0.25">
      <c r="A15" s="1" t="s">
        <v>9</v>
      </c>
      <c r="B15" s="2">
        <v>21</v>
      </c>
      <c r="C15" s="3">
        <v>1902</v>
      </c>
      <c r="D15" s="3">
        <v>1895</v>
      </c>
      <c r="E15" s="6">
        <f t="shared" si="0"/>
        <v>-7</v>
      </c>
      <c r="F15">
        <f t="shared" si="1"/>
        <v>-0.36803364879074657</v>
      </c>
      <c r="O15" s="2"/>
      <c r="P15" s="2"/>
      <c r="R15" s="2"/>
      <c r="S15" s="2"/>
      <c r="T15" s="1"/>
      <c r="U15" s="1"/>
      <c r="V15" s="1"/>
    </row>
    <row r="16" spans="1:22" ht="17.25" thickBot="1" x14ac:dyDescent="0.25">
      <c r="A16" s="1" t="s">
        <v>10</v>
      </c>
      <c r="B16" s="2">
        <v>46</v>
      </c>
      <c r="C16" s="3">
        <v>3036</v>
      </c>
      <c r="D16" s="3">
        <v>3063</v>
      </c>
      <c r="E16" s="6">
        <f t="shared" si="0"/>
        <v>27</v>
      </c>
      <c r="F16">
        <f t="shared" si="1"/>
        <v>0.8893280632411068</v>
      </c>
      <c r="O16" s="3"/>
      <c r="P16" s="3"/>
      <c r="R16" s="3"/>
      <c r="S16" s="3"/>
      <c r="T16" s="1"/>
      <c r="U16" s="1"/>
      <c r="V16" s="1"/>
    </row>
    <row r="17" spans="1:22" ht="17.25" thickBot="1" x14ac:dyDescent="0.25">
      <c r="A17" s="1" t="s">
        <v>11</v>
      </c>
      <c r="B17" s="2">
        <v>10</v>
      </c>
      <c r="C17" s="3">
        <v>1377</v>
      </c>
      <c r="D17" s="3">
        <v>1382</v>
      </c>
      <c r="E17" s="6">
        <f t="shared" si="0"/>
        <v>5</v>
      </c>
      <c r="F17">
        <f t="shared" si="1"/>
        <v>0.36310820624546114</v>
      </c>
      <c r="O17" s="2"/>
      <c r="P17" s="2"/>
      <c r="R17" s="2"/>
      <c r="S17" s="2"/>
      <c r="T17" s="1"/>
      <c r="U17" s="1"/>
      <c r="V17" s="1"/>
    </row>
    <row r="19" spans="1:22" ht="17.25" thickBot="1" x14ac:dyDescent="0.25">
      <c r="A19" s="7" t="s">
        <v>23</v>
      </c>
      <c r="L19" s="7"/>
    </row>
    <row r="20" spans="1:22" ht="26.25" thickBot="1" x14ac:dyDescent="0.25">
      <c r="A20" s="1" t="s">
        <v>12</v>
      </c>
      <c r="B20" s="1" t="s">
        <v>18</v>
      </c>
      <c r="C20" s="1" t="s">
        <v>22</v>
      </c>
      <c r="D20" s="1" t="s">
        <v>19</v>
      </c>
      <c r="E20" s="1" t="s">
        <v>4</v>
      </c>
      <c r="F20" s="1" t="s">
        <v>5</v>
      </c>
      <c r="O20" s="1"/>
      <c r="P20" s="1"/>
      <c r="R20" s="1"/>
      <c r="S20" s="1"/>
      <c r="T20" s="1"/>
      <c r="U20" s="1"/>
      <c r="V20" s="1"/>
    </row>
    <row r="21" spans="1:22" ht="17.25" thickBot="1" x14ac:dyDescent="0.25">
      <c r="A21" s="1" t="s">
        <v>20</v>
      </c>
      <c r="B21" s="2">
        <v>135</v>
      </c>
      <c r="C21" s="3">
        <v>9932</v>
      </c>
      <c r="D21" s="3">
        <v>9965</v>
      </c>
      <c r="E21" s="6">
        <f>D21-C21</f>
        <v>33</v>
      </c>
      <c r="F21">
        <f>((D21-C21)/C21)*100</f>
        <v>0.3322593636729762</v>
      </c>
      <c r="O21" s="3"/>
      <c r="P21" s="3"/>
      <c r="R21" s="3"/>
      <c r="S21" s="3"/>
      <c r="T21" s="1"/>
      <c r="U21" s="1"/>
      <c r="V21" s="1"/>
    </row>
    <row r="22" spans="1:22" ht="17.25" thickBot="1" x14ac:dyDescent="0.25">
      <c r="A22" s="1" t="s">
        <v>7</v>
      </c>
      <c r="B22" s="2">
        <v>24</v>
      </c>
      <c r="C22" s="2">
        <v>946</v>
      </c>
      <c r="D22" s="2">
        <v>953</v>
      </c>
      <c r="E22" s="6">
        <f t="shared" ref="E22:E26" si="2">D22-C22</f>
        <v>7</v>
      </c>
      <c r="F22">
        <f t="shared" ref="F22:F26" si="3">((D22-C22)/C22)*100</f>
        <v>0.73995771670190269</v>
      </c>
      <c r="O22" s="2"/>
      <c r="P22" s="2"/>
      <c r="R22" s="2"/>
      <c r="S22" s="2"/>
      <c r="T22" s="1"/>
      <c r="U22" s="1"/>
      <c r="V22" s="1"/>
    </row>
    <row r="23" spans="1:22" ht="17.25" thickBot="1" x14ac:dyDescent="0.25">
      <c r="A23" s="1" t="s">
        <v>8</v>
      </c>
      <c r="B23" s="2">
        <v>37</v>
      </c>
      <c r="C23" s="3">
        <v>2845</v>
      </c>
      <c r="D23" s="3">
        <v>2850</v>
      </c>
      <c r="E23" s="6">
        <f t="shared" si="2"/>
        <v>5</v>
      </c>
      <c r="F23">
        <f t="shared" si="3"/>
        <v>0.17574692442882248</v>
      </c>
      <c r="O23" s="3"/>
      <c r="P23" s="3"/>
      <c r="R23" s="3"/>
      <c r="S23" s="3"/>
      <c r="T23" s="1"/>
      <c r="U23" s="1"/>
      <c r="V23" s="1"/>
    </row>
    <row r="24" spans="1:22" ht="17.25" thickBot="1" x14ac:dyDescent="0.25">
      <c r="A24" s="1" t="s">
        <v>9</v>
      </c>
      <c r="B24" s="2">
        <v>20</v>
      </c>
      <c r="C24" s="3">
        <v>1843</v>
      </c>
      <c r="D24" s="3">
        <v>1848</v>
      </c>
      <c r="E24" s="6">
        <f t="shared" si="2"/>
        <v>5</v>
      </c>
      <c r="F24">
        <f t="shared" si="3"/>
        <v>0.27129679869777534</v>
      </c>
      <c r="O24" s="2"/>
      <c r="P24" s="2"/>
      <c r="R24" s="2"/>
      <c r="S24" s="2"/>
      <c r="T24" s="1"/>
      <c r="U24" s="1"/>
      <c r="V24" s="1"/>
    </row>
    <row r="25" spans="1:22" ht="17.25" thickBot="1" x14ac:dyDescent="0.25">
      <c r="A25" s="1" t="s">
        <v>10</v>
      </c>
      <c r="B25" s="2">
        <v>46</v>
      </c>
      <c r="C25" s="3">
        <v>3035</v>
      </c>
      <c r="D25" s="3">
        <v>3036</v>
      </c>
      <c r="E25" s="6">
        <f t="shared" si="2"/>
        <v>1</v>
      </c>
      <c r="F25">
        <f t="shared" si="3"/>
        <v>3.2948929159802305E-2</v>
      </c>
      <c r="O25" s="3"/>
      <c r="P25" s="3"/>
      <c r="R25" s="3"/>
      <c r="S25" s="3"/>
      <c r="T25" s="1"/>
      <c r="U25" s="1"/>
      <c r="V25" s="1"/>
    </row>
    <row r="26" spans="1:22" ht="17.25" thickBot="1" x14ac:dyDescent="0.25">
      <c r="A26" s="1" t="s">
        <v>11</v>
      </c>
      <c r="B26" s="2">
        <v>8</v>
      </c>
      <c r="C26" s="3">
        <v>1263</v>
      </c>
      <c r="D26" s="3">
        <v>1278</v>
      </c>
      <c r="E26" s="6">
        <f t="shared" si="2"/>
        <v>15</v>
      </c>
      <c r="F26">
        <f t="shared" si="3"/>
        <v>1.1876484560570071</v>
      </c>
      <c r="O26" s="2"/>
      <c r="P26" s="2"/>
      <c r="R26" s="2"/>
      <c r="S26" s="2"/>
      <c r="T26" s="1"/>
      <c r="U26" s="1"/>
      <c r="V2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교통량증감률(2021-2024)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성식 박</dc:creator>
  <cp:lastModifiedBy>성식 박</cp:lastModifiedBy>
  <dcterms:created xsi:type="dcterms:W3CDTF">2026-01-06T03:38:19Z</dcterms:created>
  <dcterms:modified xsi:type="dcterms:W3CDTF">2026-01-06T06:30:00Z</dcterms:modified>
</cp:coreProperties>
</file>