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BCAcademy_PJ1\lhs\2.BUS\DATA\"/>
    </mc:Choice>
  </mc:AlternateContent>
  <xr:revisionPtr revIDLastSave="0" documentId="13_ncr:1_{EBB9C0A4-E9CA-4E5F-9C0B-58F23100FEE3}" xr6:coauthVersionLast="47" xr6:coauthVersionMax="47" xr10:uidLastSave="{00000000-0000-0000-0000-000000000000}"/>
  <bookViews>
    <workbookView xWindow="-108" yWindow="-108" windowWidth="23256" windowHeight="12456" xr2:uid="{5D2D0AAB-4FDD-488C-BD49-06E67175CCCE}"/>
  </bookViews>
  <sheets>
    <sheet name="대중교통_이용건수" sheetId="1" r:id="rId1"/>
    <sheet name="대중교통 각 년 이용건수" sheetId="3" r:id="rId2"/>
    <sheet name="지역별 파이그래프" sheetId="4" r:id="rId3"/>
    <sheet name="지역별 누적 막대 그래프" sheetId="5" r:id="rId4"/>
    <sheet name="인구수 자동차등록대수 상관" sheetId="8" r:id="rId5"/>
  </sheets>
  <calcPr calcId="191029"/>
  <pivotCaches>
    <pivotCache cacheId="0" r:id="rId6"/>
    <pivotCache cacheId="5" r:id="rId7"/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8" l="1"/>
</calcChain>
</file>

<file path=xl/sharedStrings.xml><?xml version="1.0" encoding="utf-8"?>
<sst xmlns="http://schemas.openxmlformats.org/spreadsheetml/2006/main" count="692" uniqueCount="46">
  <si>
    <t>연도</t>
  </si>
  <si>
    <t>자치구</t>
  </si>
  <si>
    <t>소계</t>
  </si>
  <si>
    <t>버스</t>
  </si>
  <si>
    <t>지하철</t>
  </si>
  <si>
    <t>택시</t>
  </si>
  <si>
    <t>자동차_등록대수</t>
  </si>
  <si>
    <t>전년대비 자동차_증감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</si>
  <si>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</si>
  <si>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</si>
  <si>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</si>
  <si>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</si>
  <si>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</si>
  <si>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</si>
  <si>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</si>
  <si>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</si>
  <si>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</si>
  <si>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</si>
  <si>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</si>
  <si>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</si>
  <si>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</si>
  <si>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</si>
  <si>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</si>
  <si>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</si>
  <si>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</si>
  <si>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</si>
  <si>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</si>
  <si>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</si>
  <si>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</si>
  <si>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</si>
  <si>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</si>
  <si>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</si>
  <si>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</si>
  <si>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인구수</t>
    <phoneticPr fontId="18" type="noConversion"/>
  </si>
  <si>
    <t>행 레이블</t>
  </si>
  <si>
    <t>총합계</t>
  </si>
  <si>
    <t>합계 : 지하철</t>
  </si>
  <si>
    <t>합계 : 버스</t>
  </si>
  <si>
    <t>합계 : 택시</t>
  </si>
  <si>
    <t>열 레이블</t>
  </si>
  <si>
    <t>강남구</t>
    <phoneticPr fontId="18" type="noConversion"/>
  </si>
  <si>
    <t>종로구</t>
    <phoneticPr fontId="18" type="noConversion"/>
  </si>
  <si>
    <t>영등포구</t>
    <phoneticPr fontId="18" type="noConversion"/>
  </si>
  <si>
    <t>합계 : 자동차_등록대수</t>
  </si>
  <si>
    <t>합계 : 인구수</t>
  </si>
  <si>
    <t>상관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</si>
</sst>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,##0.0000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10" xfId="0" applyNumberFormat="1" applyBorder="1" applyAlignment="1">
      <alignment horizontal="right"/>
    </xf>
    <xf numFmtId="0" fontId="0" fillId="0" borderId="10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33" borderId="11" xfId="0" applyFont="1" applyFill="1" applyBorder="1">
      <alignment vertical="center"/>
    </xf>
    <xf numFmtId="0" fontId="0" fillId="0" borderId="0" xfId="0" applyNumberFormat="1">
      <alignment vertical="center"/>
    </xf>
    <xf numFmtId="3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[대중교통_이용건수_시각화_26.01.08.xlsx]대중교통 각 년 이용건수!피벗 테이블1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'대중교통 각 년 이용건수'!$L$3</c:f>
              <c:strCache>
                <c:ptCount val="1"/>
                <c:pt idx="0">
                  <c:v>합계 : 자동차_등록대수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'대중교통 각 년 이용건수'!$K$4:$K$8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'대중교통 각 년 이용건수'!$L$4:$L$8</c:f>
              <c:numCache>
                <c:formatCode>General</c:formatCode>
                <c:ptCount val="4"/>
                <c:pt idx="0">
                  <c:v>3158710</c:v>
                </c:pt>
                <c:pt idx="1">
                  <c:v>3180299</c:v>
                </c:pt>
                <c:pt idx="2">
                  <c:v>3191538</c:v>
                </c:pt>
                <c:pt idx="3">
                  <c:v>3187776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1-47B9-9639-897FCCE3A80E}"/>
            </c:ext>
          </c:extLst>
        </c:ser>
        <c:ser>
          <c:idx val="1"/>
          <c:order val="1"/>
          <c:tx>
            <c:strRef>
              <c:f>'대중교통 각 년 이용건수'!$M$3</c:f>
              <c:strCache>
                <c:ptCount val="1"/>
                <c:pt idx="0">
                  <c:v>합계 : 버스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'대중교통 각 년 이용건수'!$K$4:$K$8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'대중교통 각 년 이용건수'!$M$4:$M$8</c:f>
              <c:numCache>
                <c:formatCode>General</c:formatCode>
                <c:ptCount val="4"/>
                <c:pt idx="0">
                  <c:v>1344157818</c:v>
                </c:pt>
                <c:pt idx="1">
                  <c:v>1476650050</c:v>
                </c:pt>
                <c:pt idx="2">
                  <c:v>1524180658</c:v>
                </c:pt>
                <c:pt idx="3">
                  <c:v>1582835588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1-47B9-9639-897FCCE3A80E}"/>
            </c:ext>
          </c:extLst>
        </c:ser>
        <c:ser>
          <c:idx val="2"/>
          <c:order val="2"/>
          <c:tx>
            <c:strRef>
              <c:f>'대중교통 각 년 이용건수'!$N$3</c:f>
              <c:strCache>
                <c:ptCount val="1"/>
                <c:pt idx="0">
                  <c:v>합계 : 지하철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'대중교통 각 년 이용건수'!$K$4:$K$8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'대중교통 각 년 이용건수'!$N$4:$N$8</c:f>
              <c:numCache>
                <c:formatCode>General</c:formatCode>
                <c:ptCount val="4"/>
                <c:pt idx="0">
                  <c:v>1430691108</c:v>
                </c:pt>
                <c:pt idx="1">
                  <c:v>1620682806</c:v>
                </c:pt>
                <c:pt idx="2">
                  <c:v>1773502241</c:v>
                </c:pt>
                <c:pt idx="3">
                  <c:v>1831217498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41-47B9-9639-897FCCE3A80E}"/>
            </c:ext>
          </c:extLst>
        </c:ser>
        <c:ser>
          <c:idx val="3"/>
          <c:order val="3"/>
          <c:tx>
            <c:strRef>
              <c:f>'대중교통 각 년 이용건수'!$O$3</c:f>
              <c:strCache>
                <c:ptCount val="1"/>
                <c:pt idx="0">
                  <c:v>합계 : 택시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'대중교통 각 년 이용건수'!$K$4:$K$8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'대중교통 각 년 이용건수'!$O$4:$O$8</c:f>
              <c:numCache>
                <c:formatCode>General</c:formatCode>
                <c:ptCount val="4"/>
                <c:pt idx="0">
                  <c:v>245574300</c:v>
                </c:pt>
                <c:pt idx="1">
                  <c:v>239960766</c:v>
                </c:pt>
                <c:pt idx="2">
                  <c:v>193223841</c:v>
                </c:pt>
                <c:pt idx="3">
                  <c:v>237064584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2-491A-98C7-A659B77AD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226016"/>
        <c:axId val="847221216"/>
      </c:barChart>
      <c:catAx>
        <c:axId val="8472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7221216"/>
        <c:crosses val="autoZero"/>
        <c:auto val="1"/>
        <c:lblAlgn val="ctr"/>
        <c:lblOffset val="100"/>
        <c:noMultiLvlLbl val="0"/>
      </c:catAx>
      <c:valAx>
        <c:axId val="8472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72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3333333333333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'지역별 파이그래프'!$P$4</c:f>
              <c:strCache>
                <c:ptCount val="1"/>
                <c:pt idx="0">
                  <c:v>강남구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'지역별 파이그래프'!$Q$3:$S$3</c:f>
              <c:strCache>
                <c:ptCount val="3"/>
                <c:pt idx="0">
                  <c:v>합계 : 버스</c:v>
                </c:pt>
                <c:pt idx="1">
                  <c:v>합계 : 지하철</c:v>
                </c:pt>
                <c:pt idx="2">
                  <c:v>합계 : 택시</c:v>
                </c:pt>
              </c:strCache>
            </c:strRef>
          </c:cat>
          <c:val>
            <c:numRef>
              <c:f>'지역별 파이그래프'!$Q$4:$S$4</c:f>
              <c:numCache>
                <c:formatCode>General</c:formatCode>
                <c:ptCount val="3"/>
                <c:pt idx="0">
                  <c:v>413121562</c:v>
                </c:pt>
                <c:pt idx="1">
                  <c:v>656355602</c:v>
                </c:pt>
                <c:pt idx="2">
                  <c:v>116635047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A-40A7-8707-ACAA4B94DC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'지역별 파이그래프'!$P$22</c:f>
              <c:strCache>
                <c:ptCount val="1"/>
                <c:pt idx="0">
                  <c:v>종로구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'지역별 파이그래프'!$Q$21:$S$21</c:f>
              <c:strCache>
                <c:ptCount val="3"/>
                <c:pt idx="0">
                  <c:v>합계 : 버스</c:v>
                </c:pt>
                <c:pt idx="1">
                  <c:v>합계 : 지하철</c:v>
                </c:pt>
                <c:pt idx="2">
                  <c:v>합계 : 택시</c:v>
                </c:pt>
              </c:strCache>
            </c:strRef>
          </c:cat>
          <c:val>
            <c:numRef>
              <c:f>'지역별 파이그래프'!$Q$22:$S$22</c:f>
              <c:numCache>
                <c:formatCode>General</c:formatCode>
                <c:ptCount val="3"/>
                <c:pt idx="0">
                  <c:v>270166411</c:v>
                </c:pt>
                <c:pt idx="1">
                  <c:v>369163287</c:v>
                </c:pt>
                <c:pt idx="2">
                  <c:v>32486824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2-446F-A288-B2A1860DDB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'지역별 파이그래프'!$P$39</c:f>
              <c:strCache>
                <c:ptCount val="1"/>
                <c:pt idx="0">
                  <c:v>영등포구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'지역별 파이그래프'!$Q$38:$S$38</c:f>
              <c:strCache>
                <c:ptCount val="3"/>
                <c:pt idx="0">
                  <c:v>합계 : 버스</c:v>
                </c:pt>
                <c:pt idx="1">
                  <c:v>합계 : 지하철</c:v>
                </c:pt>
                <c:pt idx="2">
                  <c:v>합계 : 택시</c:v>
                </c:pt>
              </c:strCache>
            </c:strRef>
          </c:cat>
          <c:val>
            <c:numRef>
              <c:f>'지역별 파이그래프'!$Q$39:$S$39</c:f>
              <c:numCache>
                <c:formatCode>General</c:formatCode>
                <c:ptCount val="3"/>
                <c:pt idx="0">
                  <c:v>548188041</c:v>
                </c:pt>
                <c:pt idx="1">
                  <c:v>746531827</c:v>
                </c:pt>
                <c:pt idx="2">
                  <c:v>85749923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7-40A9-A2F0-3BCFB60563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'지역별 파이그래프'!$P$57</c:f>
              <c:strCache>
                <c:ptCount val="1"/>
                <c:pt idx="0">
                  <c:v>은평구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'지역별 파이그래프'!$Q$56:$S$56</c:f>
              <c:strCache>
                <c:ptCount val="3"/>
                <c:pt idx="0">
                  <c:v>합계 : 버스</c:v>
                </c:pt>
                <c:pt idx="1">
                  <c:v>합계 : 지하철</c:v>
                </c:pt>
                <c:pt idx="2">
                  <c:v>합계 : 택시</c:v>
                </c:pt>
              </c:strCache>
            </c:strRef>
          </c:cat>
          <c:val>
            <c:numRef>
              <c:f>'지역별 파이그래프'!$Q$57:$S$57</c:f>
              <c:numCache>
                <c:formatCode>General</c:formatCode>
                <c:ptCount val="3"/>
                <c:pt idx="0">
                  <c:v>248392278</c:v>
                </c:pt>
                <c:pt idx="1">
                  <c:v>198821000</c:v>
                </c:pt>
                <c:pt idx="2">
                  <c:v>26404351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D-458B-A27F-F9218F4C31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[대중교통_이용건수_시각화_26.01.08.xlsx]지역별 누적 막대 그래프!피벗 테이블2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65470388268933"/>
          <c:y val="9.0574251063314237E-2"/>
          <c:w val="0.73335836191735226"/>
          <c:h val="0.651093455123489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'지역별 누적 막대 그래프'!$L$2:$L$3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그래프'!$K$4:$K$29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그래프'!$L$4:$L$29</c:f>
              <c:numCache>
                <c:formatCode>General</c:formatCode>
                <c:ptCount val="25"/>
                <c:pt idx="0">
                  <c:v>93477395</c:v>
                </c:pt>
                <c:pt idx="1">
                  <c:v>32292610</c:v>
                </c:pt>
                <c:pt idx="2">
                  <c:v>54255008</c:v>
                </c:pt>
                <c:pt idx="3">
                  <c:v>52107668</c:v>
                </c:pt>
                <c:pt idx="4">
                  <c:v>81960533</c:v>
                </c:pt>
                <c:pt idx="5">
                  <c:v>29859594</c:v>
                </c:pt>
                <c:pt idx="6">
                  <c:v>60237240</c:v>
                </c:pt>
                <c:pt idx="7">
                  <c:v>42139004</c:v>
                </c:pt>
                <c:pt idx="8">
                  <c:v>46165813</c:v>
                </c:pt>
                <c:pt idx="9">
                  <c:v>37019485</c:v>
                </c:pt>
                <c:pt idx="10">
                  <c:v>57791744</c:v>
                </c:pt>
                <c:pt idx="11">
                  <c:v>58188663</c:v>
                </c:pt>
                <c:pt idx="12">
                  <c:v>56944960</c:v>
                </c:pt>
                <c:pt idx="13">
                  <c:v>60695355</c:v>
                </c:pt>
                <c:pt idx="14">
                  <c:v>72872287</c:v>
                </c:pt>
                <c:pt idx="15">
                  <c:v>31552270</c:v>
                </c:pt>
                <c:pt idx="16">
                  <c:v>67929727</c:v>
                </c:pt>
                <c:pt idx="17">
                  <c:v>60517668</c:v>
                </c:pt>
                <c:pt idx="18">
                  <c:v>46183700</c:v>
                </c:pt>
                <c:pt idx="19">
                  <c:v>61964048</c:v>
                </c:pt>
                <c:pt idx="20">
                  <c:v>43905878</c:v>
                </c:pt>
                <c:pt idx="21">
                  <c:v>57517380</c:v>
                </c:pt>
                <c:pt idx="22">
                  <c:v>57821751</c:v>
                </c:pt>
                <c:pt idx="23">
                  <c:v>39190006</c:v>
                </c:pt>
                <c:pt idx="24">
                  <c:v>41568031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9-4CEE-A45B-4BC6F5EC4715}"/>
            </c:ext>
          </c:extLst>
        </c:ser>
        <c:ser>
          <c:idx val="1"/>
          <c:order val="1"/>
          <c:tx>
            <c:strRef>
              <c:f>'지역별 누적 막대 그래프'!$M$2:$M$3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그래프'!$K$4:$K$29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그래프'!$M$4:$M$29</c:f>
              <c:numCache>
                <c:formatCode>General</c:formatCode>
                <c:ptCount val="25"/>
                <c:pt idx="0">
                  <c:v>103379977</c:v>
                </c:pt>
                <c:pt idx="1">
                  <c:v>35194304</c:v>
                </c:pt>
                <c:pt idx="2">
                  <c:v>57994006</c:v>
                </c:pt>
                <c:pt idx="3">
                  <c:v>55871596</c:v>
                </c:pt>
                <c:pt idx="4">
                  <c:v>90076319</c:v>
                </c:pt>
                <c:pt idx="5">
                  <c:v>33234902</c:v>
                </c:pt>
                <c:pt idx="6">
                  <c:v>61042525</c:v>
                </c:pt>
                <c:pt idx="7">
                  <c:v>45064854</c:v>
                </c:pt>
                <c:pt idx="8">
                  <c:v>50579231</c:v>
                </c:pt>
                <c:pt idx="9">
                  <c:v>38900295</c:v>
                </c:pt>
                <c:pt idx="10">
                  <c:v>63284045</c:v>
                </c:pt>
                <c:pt idx="11">
                  <c:v>62588194</c:v>
                </c:pt>
                <c:pt idx="12">
                  <c:v>64510577</c:v>
                </c:pt>
                <c:pt idx="13">
                  <c:v>68059904</c:v>
                </c:pt>
                <c:pt idx="14">
                  <c:v>78195534</c:v>
                </c:pt>
                <c:pt idx="15">
                  <c:v>34157923</c:v>
                </c:pt>
                <c:pt idx="16">
                  <c:v>76331592</c:v>
                </c:pt>
                <c:pt idx="17">
                  <c:v>67415209</c:v>
                </c:pt>
                <c:pt idx="18">
                  <c:v>49938837</c:v>
                </c:pt>
                <c:pt idx="19">
                  <c:v>69289958</c:v>
                </c:pt>
                <c:pt idx="20">
                  <c:v>50537978</c:v>
                </c:pt>
                <c:pt idx="21">
                  <c:v>61790167</c:v>
                </c:pt>
                <c:pt idx="22">
                  <c:v>67454849</c:v>
                </c:pt>
                <c:pt idx="23">
                  <c:v>45724150</c:v>
                </c:pt>
                <c:pt idx="24">
                  <c:v>46033124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9-4CEE-A45B-4BC6F5EC4715}"/>
            </c:ext>
          </c:extLst>
        </c:ser>
        <c:ser>
          <c:idx val="2"/>
          <c:order val="2"/>
          <c:tx>
            <c:strRef>
              <c:f>'지역별 누적 막대 그래프'!$N$2:$N$3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그래프'!$K$4:$K$29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그래프'!$N$4:$N$29</c:f>
              <c:numCache>
                <c:formatCode>General</c:formatCode>
                <c:ptCount val="25"/>
                <c:pt idx="0">
                  <c:v>104997484</c:v>
                </c:pt>
                <c:pt idx="1">
                  <c:v>35282772</c:v>
                </c:pt>
                <c:pt idx="2">
                  <c:v>59000850</c:v>
                </c:pt>
                <c:pt idx="3">
                  <c:v>57398643</c:v>
                </c:pt>
                <c:pt idx="4">
                  <c:v>89284855</c:v>
                </c:pt>
                <c:pt idx="5">
                  <c:v>34809718</c:v>
                </c:pt>
                <c:pt idx="6">
                  <c:v>62850315</c:v>
                </c:pt>
                <c:pt idx="7">
                  <c:v>46171676</c:v>
                </c:pt>
                <c:pt idx="8">
                  <c:v>51726460</c:v>
                </c:pt>
                <c:pt idx="9">
                  <c:v>39783107</c:v>
                </c:pt>
                <c:pt idx="10">
                  <c:v>67437050</c:v>
                </c:pt>
                <c:pt idx="11">
                  <c:v>62446828</c:v>
                </c:pt>
                <c:pt idx="12">
                  <c:v>68374401</c:v>
                </c:pt>
                <c:pt idx="13">
                  <c:v>72292718</c:v>
                </c:pt>
                <c:pt idx="14">
                  <c:v>78646999</c:v>
                </c:pt>
                <c:pt idx="15">
                  <c:v>35237767</c:v>
                </c:pt>
                <c:pt idx="16">
                  <c:v>79361062</c:v>
                </c:pt>
                <c:pt idx="17">
                  <c:v>69881907</c:v>
                </c:pt>
                <c:pt idx="18">
                  <c:v>51701808</c:v>
                </c:pt>
                <c:pt idx="19">
                  <c:v>72387873</c:v>
                </c:pt>
                <c:pt idx="20">
                  <c:v>54008803</c:v>
                </c:pt>
                <c:pt idx="21">
                  <c:v>63338467</c:v>
                </c:pt>
                <c:pt idx="22">
                  <c:v>70681425</c:v>
                </c:pt>
                <c:pt idx="23">
                  <c:v>48721660</c:v>
                </c:pt>
                <c:pt idx="24">
                  <c:v>48356010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9-4CEE-A45B-4BC6F5EC4715}"/>
            </c:ext>
          </c:extLst>
        </c:ser>
        <c:ser>
          <c:idx val="3"/>
          <c:order val="3"/>
          <c:tx>
            <c:strRef>
              <c:f>'지역별 누적 막대 그래프'!$O$2:$O$3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그래프'!$K$4:$K$29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그래프'!$O$4:$O$29</c:f>
              <c:numCache>
                <c:formatCode>General</c:formatCode>
                <c:ptCount val="25"/>
                <c:pt idx="0">
                  <c:v>111266706</c:v>
                </c:pt>
                <c:pt idx="1">
                  <c:v>38033929</c:v>
                </c:pt>
                <c:pt idx="2">
                  <c:v>60149464</c:v>
                </c:pt>
                <c:pt idx="3">
                  <c:v>58712738</c:v>
                </c:pt>
                <c:pt idx="4">
                  <c:v>91648849</c:v>
                </c:pt>
                <c:pt idx="5">
                  <c:v>36851896</c:v>
                </c:pt>
                <c:pt idx="6">
                  <c:v>64242239</c:v>
                </c:pt>
                <c:pt idx="7">
                  <c:v>45829736</c:v>
                </c:pt>
                <c:pt idx="8">
                  <c:v>53541282</c:v>
                </c:pt>
                <c:pt idx="9">
                  <c:v>40702065</c:v>
                </c:pt>
                <c:pt idx="10">
                  <c:v>70686857</c:v>
                </c:pt>
                <c:pt idx="11">
                  <c:v>65399210</c:v>
                </c:pt>
                <c:pt idx="12">
                  <c:v>71954538</c:v>
                </c:pt>
                <c:pt idx="13">
                  <c:v>75152493</c:v>
                </c:pt>
                <c:pt idx="14">
                  <c:v>81739104</c:v>
                </c:pt>
                <c:pt idx="15">
                  <c:v>37079391</c:v>
                </c:pt>
                <c:pt idx="16">
                  <c:v>81559692</c:v>
                </c:pt>
                <c:pt idx="17">
                  <c:v>71926631</c:v>
                </c:pt>
                <c:pt idx="18">
                  <c:v>52935254</c:v>
                </c:pt>
                <c:pt idx="19">
                  <c:v>74379751</c:v>
                </c:pt>
                <c:pt idx="20">
                  <c:v>56796253</c:v>
                </c:pt>
                <c:pt idx="21">
                  <c:v>65746264</c:v>
                </c:pt>
                <c:pt idx="22">
                  <c:v>74208386</c:v>
                </c:pt>
                <c:pt idx="23">
                  <c:v>52435264</c:v>
                </c:pt>
                <c:pt idx="24">
                  <c:v>49857596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9-4CEE-A45B-4BC6F5EC4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8759519"/>
        <c:axId val="1748751839"/>
      </c:barChart>
      <c:catAx>
        <c:axId val="17487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8751839"/>
        <c:crosses val="autoZero"/>
        <c:auto val="1"/>
        <c:lblAlgn val="ctr"/>
        <c:lblOffset val="100"/>
        <c:noMultiLvlLbl val="0"/>
      </c:catAx>
      <c:valAx>
        <c:axId val="17487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87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[대중교통_이용건수_시각화_26.01.08.xlsx]지역별 누적 막대 그래프!피벗 테이블3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ko-K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ko-K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ko-K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ko-KR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'지역별 누적 막대 그래프'!$L$35:$L$36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그래프'!$K$37:$K$62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그래프'!$L$37:$L$62</c:f>
              <c:numCache>
                <c:formatCode>General</c:formatCode>
                <c:ptCount val="25"/>
                <c:pt idx="0">
                  <c:v>139523472</c:v>
                </c:pt>
                <c:pt idx="1">
                  <c:v>45671791</c:v>
                </c:pt>
                <c:pt idx="2">
                  <c:v>28068271</c:v>
                </c:pt>
                <c:pt idx="3">
                  <c:v>62794479</c:v>
                </c:pt>
                <c:pt idx="4">
                  <c:v>75428105</c:v>
                </c:pt>
                <c:pt idx="5">
                  <c:v>56633974</c:v>
                </c:pt>
                <c:pt idx="6">
                  <c:v>56036771</c:v>
                </c:pt>
                <c:pt idx="7">
                  <c:v>19830665</c:v>
                </c:pt>
                <c:pt idx="8">
                  <c:v>52909026</c:v>
                </c:pt>
                <c:pt idx="9">
                  <c:v>25198610</c:v>
                </c:pt>
                <c:pt idx="10">
                  <c:v>31218408</c:v>
                </c:pt>
                <c:pt idx="11">
                  <c:v>45706535</c:v>
                </c:pt>
                <c:pt idx="12">
                  <c:v>78992624</c:v>
                </c:pt>
                <c:pt idx="13">
                  <c:v>28742860</c:v>
                </c:pt>
                <c:pt idx="14">
                  <c:v>104225039</c:v>
                </c:pt>
                <c:pt idx="15">
                  <c:v>56470250</c:v>
                </c:pt>
                <c:pt idx="16">
                  <c:v>37822410</c:v>
                </c:pt>
                <c:pt idx="17">
                  <c:v>89719740</c:v>
                </c:pt>
                <c:pt idx="18">
                  <c:v>30359568</c:v>
                </c:pt>
                <c:pt idx="19">
                  <c:v>81402306</c:v>
                </c:pt>
                <c:pt idx="20">
                  <c:v>32335411</c:v>
                </c:pt>
                <c:pt idx="21">
                  <c:v>45319869</c:v>
                </c:pt>
                <c:pt idx="22">
                  <c:v>75771163</c:v>
                </c:pt>
                <c:pt idx="23">
                  <c:v>100938579</c:v>
                </c:pt>
                <c:pt idx="24">
                  <c:v>29571182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2-43E9-AB15-511C150EFAA9}"/>
            </c:ext>
          </c:extLst>
        </c:ser>
        <c:ser>
          <c:idx val="1"/>
          <c:order val="1"/>
          <c:tx>
            <c:strRef>
              <c:f>'지역별 누적 막대 그래프'!$M$35:$M$36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그래프'!$K$37:$K$62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그래프'!$M$37:$M$62</c:f>
              <c:numCache>
                <c:formatCode>General</c:formatCode>
                <c:ptCount val="25"/>
                <c:pt idx="0">
                  <c:v>161272441</c:v>
                </c:pt>
                <c:pt idx="1">
                  <c:v>49416957</c:v>
                </c:pt>
                <c:pt idx="2">
                  <c:v>30445153</c:v>
                </c:pt>
                <c:pt idx="3">
                  <c:v>69470943</c:v>
                </c:pt>
                <c:pt idx="4">
                  <c:v>84916033</c:v>
                </c:pt>
                <c:pt idx="5">
                  <c:v>64860255</c:v>
                </c:pt>
                <c:pt idx="6">
                  <c:v>59580422</c:v>
                </c:pt>
                <c:pt idx="7">
                  <c:v>20465940</c:v>
                </c:pt>
                <c:pt idx="8">
                  <c:v>57264326</c:v>
                </c:pt>
                <c:pt idx="9">
                  <c:v>26987249</c:v>
                </c:pt>
                <c:pt idx="10">
                  <c:v>34854710</c:v>
                </c:pt>
                <c:pt idx="11">
                  <c:v>51528199</c:v>
                </c:pt>
                <c:pt idx="12">
                  <c:v>91948749</c:v>
                </c:pt>
                <c:pt idx="13">
                  <c:v>32850877</c:v>
                </c:pt>
                <c:pt idx="14">
                  <c:v>117324071</c:v>
                </c:pt>
                <c:pt idx="15">
                  <c:v>64269063</c:v>
                </c:pt>
                <c:pt idx="16">
                  <c:v>43239120</c:v>
                </c:pt>
                <c:pt idx="17">
                  <c:v>104523594</c:v>
                </c:pt>
                <c:pt idx="18">
                  <c:v>33236941</c:v>
                </c:pt>
                <c:pt idx="19">
                  <c:v>91890433</c:v>
                </c:pt>
                <c:pt idx="20">
                  <c:v>39369572</c:v>
                </c:pt>
                <c:pt idx="21">
                  <c:v>48938669</c:v>
                </c:pt>
                <c:pt idx="22">
                  <c:v>89319867</c:v>
                </c:pt>
                <c:pt idx="23">
                  <c:v>120765784</c:v>
                </c:pt>
                <c:pt idx="24">
                  <c:v>31943438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2-43E9-AB15-511C150EFAA9}"/>
            </c:ext>
          </c:extLst>
        </c:ser>
        <c:ser>
          <c:idx val="2"/>
          <c:order val="2"/>
          <c:tx>
            <c:strRef>
              <c:f>'지역별 누적 막대 그래프'!$N$35:$N$36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그래프'!$K$37:$K$62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그래프'!$N$37:$N$62</c:f>
              <c:numCache>
                <c:formatCode>General</c:formatCode>
                <c:ptCount val="25"/>
                <c:pt idx="0">
                  <c:v>175606259</c:v>
                </c:pt>
                <c:pt idx="1">
                  <c:v>51997375</c:v>
                </c:pt>
                <c:pt idx="2">
                  <c:v>32266378</c:v>
                </c:pt>
                <c:pt idx="3">
                  <c:v>75470439</c:v>
                </c:pt>
                <c:pt idx="4">
                  <c:v>90767121</c:v>
                </c:pt>
                <c:pt idx="5">
                  <c:v>69506034</c:v>
                </c:pt>
                <c:pt idx="6">
                  <c:v>63065182</c:v>
                </c:pt>
                <c:pt idx="7">
                  <c:v>21372019</c:v>
                </c:pt>
                <c:pt idx="8">
                  <c:v>61347921</c:v>
                </c:pt>
                <c:pt idx="9">
                  <c:v>28321911</c:v>
                </c:pt>
                <c:pt idx="10">
                  <c:v>37821239</c:v>
                </c:pt>
                <c:pt idx="11">
                  <c:v>55771179</c:v>
                </c:pt>
                <c:pt idx="12">
                  <c:v>103281308</c:v>
                </c:pt>
                <c:pt idx="13">
                  <c:v>36582300</c:v>
                </c:pt>
                <c:pt idx="14">
                  <c:v>127350104</c:v>
                </c:pt>
                <c:pt idx="15">
                  <c:v>70179191</c:v>
                </c:pt>
                <c:pt idx="16">
                  <c:v>46809536</c:v>
                </c:pt>
                <c:pt idx="17">
                  <c:v>115250643</c:v>
                </c:pt>
                <c:pt idx="18">
                  <c:v>35246960</c:v>
                </c:pt>
                <c:pt idx="19">
                  <c:v>100244057</c:v>
                </c:pt>
                <c:pt idx="20">
                  <c:v>44222766</c:v>
                </c:pt>
                <c:pt idx="21">
                  <c:v>51822570</c:v>
                </c:pt>
                <c:pt idx="22">
                  <c:v>100748476</c:v>
                </c:pt>
                <c:pt idx="23">
                  <c:v>144615589</c:v>
                </c:pt>
                <c:pt idx="24">
                  <c:v>33835684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2-43E9-AB15-511C150EFAA9}"/>
            </c:ext>
          </c:extLst>
        </c:ser>
        <c:ser>
          <c:idx val="3"/>
          <c:order val="3"/>
          <c:tx>
            <c:strRef>
              <c:f>'지역별 누적 막대 그래프'!$O$35:$O$36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그래프'!$K$37:$K$62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그래프'!$O$37:$O$62</c:f>
              <c:numCache>
                <c:formatCode>General</c:formatCode>
                <c:ptCount val="25"/>
                <c:pt idx="0">
                  <c:v>179953430</c:v>
                </c:pt>
                <c:pt idx="1">
                  <c:v>55794880</c:v>
                </c:pt>
                <c:pt idx="2">
                  <c:v>32634332</c:v>
                </c:pt>
                <c:pt idx="3">
                  <c:v>78419782</c:v>
                </c:pt>
                <c:pt idx="4">
                  <c:v>92102308</c:v>
                </c:pt>
                <c:pt idx="5">
                  <c:v>70329994</c:v>
                </c:pt>
                <c:pt idx="6">
                  <c:v>63648432</c:v>
                </c:pt>
                <c:pt idx="7">
                  <c:v>21506116</c:v>
                </c:pt>
                <c:pt idx="8">
                  <c:v>65760380</c:v>
                </c:pt>
                <c:pt idx="9">
                  <c:v>29260920</c:v>
                </c:pt>
                <c:pt idx="10">
                  <c:v>39182683</c:v>
                </c:pt>
                <c:pt idx="11">
                  <c:v>57208566</c:v>
                </c:pt>
                <c:pt idx="12">
                  <c:v>107502551</c:v>
                </c:pt>
                <c:pt idx="13">
                  <c:v>37369540</c:v>
                </c:pt>
                <c:pt idx="14">
                  <c:v>130172545</c:v>
                </c:pt>
                <c:pt idx="15">
                  <c:v>73862010</c:v>
                </c:pt>
                <c:pt idx="16">
                  <c:v>47802034</c:v>
                </c:pt>
                <c:pt idx="17">
                  <c:v>120662352</c:v>
                </c:pt>
                <c:pt idx="18">
                  <c:v>35719191</c:v>
                </c:pt>
                <c:pt idx="19">
                  <c:v>103831744</c:v>
                </c:pt>
                <c:pt idx="20">
                  <c:v>45863450</c:v>
                </c:pt>
                <c:pt idx="21">
                  <c:v>52739892</c:v>
                </c:pt>
                <c:pt idx="22">
                  <c:v>103323781</c:v>
                </c:pt>
                <c:pt idx="23">
                  <c:v>152294765</c:v>
                </c:pt>
                <c:pt idx="24">
                  <c:v>34271820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2-43E9-AB15-511C150EF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440719"/>
        <c:axId val="1760426319"/>
      </c:barChart>
      <c:catAx>
        <c:axId val="176044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ko-K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60426319"/>
        <c:crosses val="autoZero"/>
        <c:auto val="1"/>
        <c:lblAlgn val="ctr"/>
        <c:lblOffset val="100"/>
        <c:noMultiLvlLbl val="0"/>
      </c:catAx>
      <c:valAx>
        <c:axId val="17604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ko-K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6044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ko-K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ko-KR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[대중교통_이용건수_시각화_26.01.08.xlsx]지역별 누적 막대 그래프!피벗 테이블4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'지역별 누적 막대 그래프'!$L$67:$L$68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그래프'!$K$69:$K$94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그래프'!$L$69:$L$94</c:f>
              <c:numCache>
                <c:formatCode>General</c:formatCode>
                <c:ptCount val="25"/>
                <c:pt idx="0">
                  <c:v>30147451</c:v>
                </c:pt>
                <c:pt idx="1">
                  <c:v>9550836</c:v>
                </c:pt>
                <c:pt idx="2">
                  <c:v>5932508</c:v>
                </c:pt>
                <c:pt idx="3">
                  <c:v>10994705</c:v>
                </c:pt>
                <c:pt idx="4">
                  <c:v>8799726</c:v>
                </c:pt>
                <c:pt idx="5">
                  <c:v>9237922</c:v>
                </c:pt>
                <c:pt idx="6">
                  <c:v>7113869</c:v>
                </c:pt>
                <c:pt idx="7">
                  <c:v>4782615</c:v>
                </c:pt>
                <c:pt idx="8">
                  <c:v>9665232</c:v>
                </c:pt>
                <c:pt idx="9">
                  <c:v>5521781</c:v>
                </c:pt>
                <c:pt idx="10">
                  <c:v>8932560</c:v>
                </c:pt>
                <c:pt idx="11">
                  <c:v>5482208</c:v>
                </c:pt>
                <c:pt idx="12">
                  <c:v>12193528</c:v>
                </c:pt>
                <c:pt idx="13">
                  <c:v>6519909</c:v>
                </c:pt>
                <c:pt idx="14">
                  <c:v>14220978</c:v>
                </c:pt>
                <c:pt idx="15">
                  <c:v>8064905</c:v>
                </c:pt>
                <c:pt idx="16">
                  <c:v>7039123</c:v>
                </c:pt>
                <c:pt idx="17">
                  <c:v>16186249</c:v>
                </c:pt>
                <c:pt idx="18">
                  <c:v>6635854</c:v>
                </c:pt>
                <c:pt idx="19">
                  <c:v>14133151</c:v>
                </c:pt>
                <c:pt idx="20">
                  <c:v>10790696</c:v>
                </c:pt>
                <c:pt idx="21">
                  <c:v>7579254</c:v>
                </c:pt>
                <c:pt idx="22">
                  <c:v>8167055</c:v>
                </c:pt>
                <c:pt idx="23">
                  <c:v>9727454</c:v>
                </c:pt>
                <c:pt idx="24">
                  <c:v>8154731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7-40E2-A8C2-F7A66378829D}"/>
            </c:ext>
          </c:extLst>
        </c:ser>
        <c:ser>
          <c:idx val="1"/>
          <c:order val="1"/>
          <c:tx>
            <c:strRef>
              <c:f>'지역별 누적 막대 그래프'!$M$67:$M$68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그래프'!$K$69:$K$94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그래프'!$M$69:$M$94</c:f>
              <c:numCache>
                <c:formatCode>General</c:formatCode>
                <c:ptCount val="25"/>
                <c:pt idx="0">
                  <c:v>29313393</c:v>
                </c:pt>
                <c:pt idx="1">
                  <c:v>9313432</c:v>
                </c:pt>
                <c:pt idx="2">
                  <c:v>5844333</c:v>
                </c:pt>
                <c:pt idx="3">
                  <c:v>11273287</c:v>
                </c:pt>
                <c:pt idx="4">
                  <c:v>8327226</c:v>
                </c:pt>
                <c:pt idx="5">
                  <c:v>9150945</c:v>
                </c:pt>
                <c:pt idx="6">
                  <c:v>6881163</c:v>
                </c:pt>
                <c:pt idx="7">
                  <c:v>4526171</c:v>
                </c:pt>
                <c:pt idx="8">
                  <c:v>9643000</c:v>
                </c:pt>
                <c:pt idx="9">
                  <c:v>5354651</c:v>
                </c:pt>
                <c:pt idx="10">
                  <c:v>8472038</c:v>
                </c:pt>
                <c:pt idx="11">
                  <c:v>5071279</c:v>
                </c:pt>
                <c:pt idx="12">
                  <c:v>12864715</c:v>
                </c:pt>
                <c:pt idx="13">
                  <c:v>6253061</c:v>
                </c:pt>
                <c:pt idx="14">
                  <c:v>13494848</c:v>
                </c:pt>
                <c:pt idx="15">
                  <c:v>7738640</c:v>
                </c:pt>
                <c:pt idx="16">
                  <c:v>6598855</c:v>
                </c:pt>
                <c:pt idx="17">
                  <c:v>16016973</c:v>
                </c:pt>
                <c:pt idx="18">
                  <c:v>6282670</c:v>
                </c:pt>
                <c:pt idx="19">
                  <c:v>13650593</c:v>
                </c:pt>
                <c:pt idx="20">
                  <c:v>10968319</c:v>
                </c:pt>
                <c:pt idx="21">
                  <c:v>7152353</c:v>
                </c:pt>
                <c:pt idx="22">
                  <c:v>8160903</c:v>
                </c:pt>
                <c:pt idx="23">
                  <c:v>9664890</c:v>
                </c:pt>
                <c:pt idx="24">
                  <c:v>7943028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7-40E2-A8C2-F7A66378829D}"/>
            </c:ext>
          </c:extLst>
        </c:ser>
        <c:ser>
          <c:idx val="2"/>
          <c:order val="2"/>
          <c:tx>
            <c:strRef>
              <c:f>'지역별 누적 막대 그래프'!$N$67:$N$68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그래프'!$K$69:$K$94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그래프'!$N$69:$N$94</c:f>
              <c:numCache>
                <c:formatCode>General</c:formatCode>
                <c:ptCount val="25"/>
                <c:pt idx="0">
                  <c:v>25466495</c:v>
                </c:pt>
                <c:pt idx="1">
                  <c:v>6731513</c:v>
                </c:pt>
                <c:pt idx="2">
                  <c:v>4154257</c:v>
                </c:pt>
                <c:pt idx="3">
                  <c:v>8856021</c:v>
                </c:pt>
                <c:pt idx="4">
                  <c:v>6588738</c:v>
                </c:pt>
                <c:pt idx="5">
                  <c:v>7212412</c:v>
                </c:pt>
                <c:pt idx="6">
                  <c:v>5506997</c:v>
                </c:pt>
                <c:pt idx="7">
                  <c:v>3562081</c:v>
                </c:pt>
                <c:pt idx="8">
                  <c:v>6749475</c:v>
                </c:pt>
                <c:pt idx="9">
                  <c:v>3556554</c:v>
                </c:pt>
                <c:pt idx="10">
                  <c:v>6352790</c:v>
                </c:pt>
                <c:pt idx="11">
                  <c:v>4043040</c:v>
                </c:pt>
                <c:pt idx="12">
                  <c:v>11326566</c:v>
                </c:pt>
                <c:pt idx="13">
                  <c:v>4980135</c:v>
                </c:pt>
                <c:pt idx="14">
                  <c:v>11497071</c:v>
                </c:pt>
                <c:pt idx="15">
                  <c:v>6300965</c:v>
                </c:pt>
                <c:pt idx="16">
                  <c:v>4934692</c:v>
                </c:pt>
                <c:pt idx="17">
                  <c:v>12546837</c:v>
                </c:pt>
                <c:pt idx="18">
                  <c:v>4721499</c:v>
                </c:pt>
                <c:pt idx="19">
                  <c:v>11399168</c:v>
                </c:pt>
                <c:pt idx="20">
                  <c:v>9529362</c:v>
                </c:pt>
                <c:pt idx="21">
                  <c:v>5213363</c:v>
                </c:pt>
                <c:pt idx="22">
                  <c:v>7137801</c:v>
                </c:pt>
                <c:pt idx="23">
                  <c:v>8987078</c:v>
                </c:pt>
                <c:pt idx="24">
                  <c:v>5868931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37-40E2-A8C2-F7A66378829D}"/>
            </c:ext>
          </c:extLst>
        </c:ser>
        <c:ser>
          <c:idx val="3"/>
          <c:order val="3"/>
          <c:tx>
            <c:strRef>
              <c:f>'지역별 누적 막대 그래프'!$O$67:$O$68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'지역별 누적 막대 그래프'!$K$69:$K$94</c:f>
              <c:strCache>
                <c:ptCount val="25"/>
                <c:pt idx="0">
                  <c:v>강남구</c:v>
                </c:pt>
                <c:pt idx="1">
                  <c:v>강동구</c:v>
                </c:pt>
                <c:pt idx="2">
                  <c:v>강북구</c:v>
                </c:pt>
                <c:pt idx="3">
                  <c:v>강서구</c:v>
                </c:pt>
                <c:pt idx="4">
                  <c:v>관악구</c:v>
                </c:pt>
                <c:pt idx="5">
                  <c:v>광진구</c:v>
                </c:pt>
                <c:pt idx="6">
                  <c:v>구로구</c:v>
                </c:pt>
                <c:pt idx="7">
                  <c:v>금천구</c:v>
                </c:pt>
                <c:pt idx="8">
                  <c:v>노원구</c:v>
                </c:pt>
                <c:pt idx="9">
                  <c:v>도봉구</c:v>
                </c:pt>
                <c:pt idx="10">
                  <c:v>동대문구</c:v>
                </c:pt>
                <c:pt idx="11">
                  <c:v>동작구</c:v>
                </c:pt>
                <c:pt idx="12">
                  <c:v>마포구</c:v>
                </c:pt>
                <c:pt idx="13">
                  <c:v>서대문구</c:v>
                </c:pt>
                <c:pt idx="14">
                  <c:v>서초구</c:v>
                </c:pt>
                <c:pt idx="15">
                  <c:v>성동구</c:v>
                </c:pt>
                <c:pt idx="16">
                  <c:v>성북구</c:v>
                </c:pt>
                <c:pt idx="17">
                  <c:v>송파구</c:v>
                </c:pt>
                <c:pt idx="18">
                  <c:v>양천구</c:v>
                </c:pt>
                <c:pt idx="19">
                  <c:v>영등포구</c:v>
                </c:pt>
                <c:pt idx="20">
                  <c:v>용산구</c:v>
                </c:pt>
                <c:pt idx="21">
                  <c:v>은평구</c:v>
                </c:pt>
                <c:pt idx="22">
                  <c:v>종로구</c:v>
                </c:pt>
                <c:pt idx="23">
                  <c:v>중구</c:v>
                </c:pt>
                <c:pt idx="24">
                  <c:v>중랑구</c:v>
                </c:pt>
              </c:strCache>
            </c:strRef>
          </c:cat>
          <c:val>
            <c:numRef>
              <c:f>'지역별 누적 막대 그래프'!$O$69:$O$94</c:f>
              <c:numCache>
                <c:formatCode>General</c:formatCode>
                <c:ptCount val="25"/>
                <c:pt idx="0">
                  <c:v>31707708</c:v>
                </c:pt>
                <c:pt idx="1">
                  <c:v>8331233</c:v>
                </c:pt>
                <c:pt idx="2">
                  <c:v>4815306</c:v>
                </c:pt>
                <c:pt idx="3">
                  <c:v>10865833</c:v>
                </c:pt>
                <c:pt idx="4">
                  <c:v>7776886</c:v>
                </c:pt>
                <c:pt idx="5">
                  <c:v>8504662</c:v>
                </c:pt>
                <c:pt idx="6">
                  <c:v>6560520</c:v>
                </c:pt>
                <c:pt idx="7">
                  <c:v>4182936</c:v>
                </c:pt>
                <c:pt idx="8">
                  <c:v>7875599</c:v>
                </c:pt>
                <c:pt idx="9">
                  <c:v>4317244</c:v>
                </c:pt>
                <c:pt idx="10">
                  <c:v>7418058</c:v>
                </c:pt>
                <c:pt idx="11">
                  <c:v>4909739</c:v>
                </c:pt>
                <c:pt idx="12">
                  <c:v>14349022</c:v>
                </c:pt>
                <c:pt idx="13">
                  <c:v>6050529</c:v>
                </c:pt>
                <c:pt idx="14">
                  <c:v>14043834</c:v>
                </c:pt>
                <c:pt idx="15">
                  <c:v>7780299</c:v>
                </c:pt>
                <c:pt idx="16">
                  <c:v>5892542</c:v>
                </c:pt>
                <c:pt idx="17">
                  <c:v>15463973</c:v>
                </c:pt>
                <c:pt idx="18">
                  <c:v>5705269</c:v>
                </c:pt>
                <c:pt idx="19">
                  <c:v>14080187</c:v>
                </c:pt>
                <c:pt idx="20">
                  <c:v>12496071</c:v>
                </c:pt>
                <c:pt idx="21">
                  <c:v>6459381</c:v>
                </c:pt>
                <c:pt idx="22">
                  <c:v>9021065</c:v>
                </c:pt>
                <c:pt idx="23">
                  <c:v>11892437</c:v>
                </c:pt>
                <c:pt idx="24">
                  <c:v>6564251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37-40E2-A8C2-F7A66378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431599"/>
        <c:axId val="1760428239"/>
      </c:barChart>
      <c:catAx>
        <c:axId val="17604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60428239"/>
        <c:crosses val="autoZero"/>
        <c:auto val="1"/>
        <c:lblAlgn val="ctr"/>
        <c:lblOffset val="100"/>
        <c:noMultiLvlLbl val="0"/>
      </c:catAx>
      <c:valAx>
        <c:axId val="17604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6043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148590</xdr:colOff>
      <xdr:row>9</xdr:row>
      <xdr:rowOff>129540</xdr:rowOff>
    </xdr:from>
    <xdr:to>
      <xdr:col>15</xdr:col>
      <xdr:colOff>544830</xdr:colOff>
      <xdr:row>22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6A5583F-D7BD-F2B7-EE09-EB6630519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591671</xdr:colOff>
      <xdr:row>4</xdr:row>
      <xdr:rowOff>209449</xdr:rowOff>
    </xdr:from>
    <xdr:to>
      <xdr:col>19</xdr:col>
      <xdr:colOff>452310</xdr:colOff>
      <xdr:row>17</xdr:row>
      <xdr:rowOff>41565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B1C5FBC-3C80-71E7-43A1-091EDAF6C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465061</xdr:colOff>
      <xdr:row>23</xdr:row>
      <xdr:rowOff>59553</xdr:rowOff>
    </xdr:from>
    <xdr:to>
      <xdr:col>19</xdr:col>
      <xdr:colOff>325700</xdr:colOff>
      <xdr:row>35</xdr:row>
      <xdr:rowOff>106938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18059C1F-E3C3-5754-4113-48F1D73EE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229824</xdr:colOff>
      <xdr:row>39</xdr:row>
      <xdr:rowOff>184883</xdr:rowOff>
    </xdr:from>
    <xdr:to>
      <xdr:col>19</xdr:col>
      <xdr:colOff>90463</xdr:colOff>
      <xdr:row>52</xdr:row>
      <xdr:rowOff>16997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3D4D3B0-7259-C73F-F2D5-6905CEF5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223157</xdr:colOff>
      <xdr:row>58</xdr:row>
      <xdr:rowOff>179614</xdr:rowOff>
    </xdr:from>
    <xdr:to>
      <xdr:col>19</xdr:col>
      <xdr:colOff>92529</xdr:colOff>
      <xdr:row>71</xdr:row>
      <xdr:rowOff>92529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11BE9AE-960E-96EE-CE49-6B93F90B0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457201</xdr:colOff>
      <xdr:row>7</xdr:row>
      <xdr:rowOff>44825</xdr:rowOff>
    </xdr:from>
    <xdr:to>
      <xdr:col>23</xdr:col>
      <xdr:colOff>1143000</xdr:colOff>
      <xdr:row>23</xdr:row>
      <xdr:rowOff>206189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FAC6D4D-97D0-F416-2C95-CD590F046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401782</xdr:colOff>
      <xdr:row>34</xdr:row>
      <xdr:rowOff>6927</xdr:rowOff>
    </xdr:from>
    <xdr:to>
      <xdr:col>23</xdr:col>
      <xdr:colOff>1047750</xdr:colOff>
      <xdr:row>56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DE126FC-961C-63B6-CE56-A49F112E4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438150</xdr:colOff>
      <xdr:row>66</xdr:row>
      <xdr:rowOff>81642</xdr:rowOff>
    </xdr:from>
    <xdr:to>
      <xdr:col>23</xdr:col>
      <xdr:colOff>933449</xdr:colOff>
      <xdr:row>87</xdr:row>
      <xdr:rowOff>133349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ECAF790-4E21-AF23-7892-049EF3802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0.393002662036" createdVersion="8" refreshedVersion="8" minRefreshableVersion="3" recordCount="100" xr:uid="{A0CCC877-1BC9-4283-9A9D-32872A759DEA}">
  <cacheSource type="worksheet">
    <worksheetSource ref="A1:I101" sheet="대중교통 각 년 이용건수"/>
  </cacheSource>
  <cacheFields count="9">
    <cacheField name="연도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자치구" numFmtId="0">
      <sharedItems/>
    </cacheField>
    <cacheField name="소계" numFmtId="0">
      <sharedItems containsSemiMixedTypes="0" containsString="0" containsNumber="1" containsInteger="1" minValue="66752284" maxValue="322927844"/>
    </cacheField>
    <cacheField name="버스" numFmtId="0">
      <sharedItems containsSemiMixedTypes="0" containsString="0" containsNumber="1" containsInteger="1" minValue="29859594" maxValue="111266706" count="100">
        <n v="57821751"/>
        <n v="39190006"/>
        <n v="43905878"/>
        <n v="31552270"/>
        <n v="29859594"/>
        <n v="57791744"/>
        <n v="41568031"/>
        <n v="67929727"/>
        <n v="54255008"/>
        <n v="37019485"/>
        <n v="46165813"/>
        <n v="57517380"/>
        <n v="60695355"/>
        <n v="56944960"/>
        <n v="46183700"/>
        <n v="52107668"/>
        <n v="60237240"/>
        <n v="42139004"/>
        <n v="61964048"/>
        <n v="58188663"/>
        <n v="81960533"/>
        <n v="72872287"/>
        <n v="93477395"/>
        <n v="60517668"/>
        <n v="32292610"/>
        <n v="67454849"/>
        <n v="45724150"/>
        <n v="50537978"/>
        <n v="34157923"/>
        <n v="33234902"/>
        <n v="63284045"/>
        <n v="46033124"/>
        <n v="76331592"/>
        <n v="57994006"/>
        <n v="38900295"/>
        <n v="50579231"/>
        <n v="61790167"/>
        <n v="68059904"/>
        <n v="64510577"/>
        <n v="49938837"/>
        <n v="55871596"/>
        <n v="61042525"/>
        <n v="45064854"/>
        <n v="69289958"/>
        <n v="62588194"/>
        <n v="90076319"/>
        <n v="78195534"/>
        <n v="103379977"/>
        <n v="67415209"/>
        <n v="35194304"/>
        <n v="70681425"/>
        <n v="48721660"/>
        <n v="54008803"/>
        <n v="35237767"/>
        <n v="34809718"/>
        <n v="67437050"/>
        <n v="48356010"/>
        <n v="79361062"/>
        <n v="59000850"/>
        <n v="39783107"/>
        <n v="51726460"/>
        <n v="63338467"/>
        <n v="72292718"/>
        <n v="68374401"/>
        <n v="51701808"/>
        <n v="57398643"/>
        <n v="62850315"/>
        <n v="46171676"/>
        <n v="72387873"/>
        <n v="62446828"/>
        <n v="89284855"/>
        <n v="78646999"/>
        <n v="104997484"/>
        <n v="69881907"/>
        <n v="35282772"/>
        <n v="74208386"/>
        <n v="52435264"/>
        <n v="56796253"/>
        <n v="37079391"/>
        <n v="36851896"/>
        <n v="70686857"/>
        <n v="49857596"/>
        <n v="81559692"/>
        <n v="60149464"/>
        <n v="40702065"/>
        <n v="53541282"/>
        <n v="65746264"/>
        <n v="75152493"/>
        <n v="71954538"/>
        <n v="52935254"/>
        <n v="58712738"/>
        <n v="64242239"/>
        <n v="45829736"/>
        <n v="74379751"/>
        <n v="65399210"/>
        <n v="91648849"/>
        <n v="81739104"/>
        <n v="111266706"/>
        <n v="71926631"/>
        <n v="38033929"/>
      </sharedItems>
    </cacheField>
    <cacheField name="지하철" numFmtId="0">
      <sharedItems containsSemiMixedTypes="0" containsString="0" containsNumber="1" containsInteger="1" minValue="19830665" maxValue="179953430" count="100">
        <n v="75771163"/>
        <n v="100938579"/>
        <n v="32335411"/>
        <n v="56470250"/>
        <n v="56633974"/>
        <n v="31218408"/>
        <n v="29571182"/>
        <n v="37822410"/>
        <n v="28068271"/>
        <n v="25198610"/>
        <n v="52909026"/>
        <n v="45319869"/>
        <n v="28742860"/>
        <n v="78992624"/>
        <n v="30359568"/>
        <n v="62794479"/>
        <n v="56036771"/>
        <n v="19830665"/>
        <n v="81402306"/>
        <n v="45706535"/>
        <n v="75428105"/>
        <n v="104225039"/>
        <n v="139523472"/>
        <n v="89719740"/>
        <n v="45671791"/>
        <n v="89319867"/>
        <n v="120765784"/>
        <n v="39369572"/>
        <n v="64269063"/>
        <n v="64860255"/>
        <n v="34854710"/>
        <n v="31943438"/>
        <n v="43239120"/>
        <n v="30445153"/>
        <n v="26987249"/>
        <n v="57264326"/>
        <n v="48938669"/>
        <n v="32850877"/>
        <n v="91948749"/>
        <n v="33236941"/>
        <n v="69470943"/>
        <n v="59580422"/>
        <n v="20465940"/>
        <n v="91890433"/>
        <n v="51528199"/>
        <n v="84916033"/>
        <n v="117324071"/>
        <n v="161272441"/>
        <n v="104523594"/>
        <n v="49416957"/>
        <n v="100748476"/>
        <n v="144615589"/>
        <n v="44222766"/>
        <n v="70179191"/>
        <n v="69506034"/>
        <n v="37821239"/>
        <n v="33835684"/>
        <n v="46809536"/>
        <n v="32266378"/>
        <n v="28321911"/>
        <n v="61347921"/>
        <n v="51822570"/>
        <n v="36582300"/>
        <n v="103281308"/>
        <n v="35246960"/>
        <n v="75470439"/>
        <n v="63065182"/>
        <n v="21372019"/>
        <n v="100244057"/>
        <n v="55771179"/>
        <n v="90767121"/>
        <n v="127350104"/>
        <n v="175606259"/>
        <n v="115250643"/>
        <n v="51997375"/>
        <n v="103323781"/>
        <n v="152294765"/>
        <n v="45863450"/>
        <n v="73862010"/>
        <n v="70329994"/>
        <n v="39182683"/>
        <n v="34271820"/>
        <n v="47802034"/>
        <n v="32634332"/>
        <n v="29260920"/>
        <n v="65760380"/>
        <n v="52739892"/>
        <n v="37369540"/>
        <n v="107502551"/>
        <n v="35719191"/>
        <n v="78419782"/>
        <n v="63648432"/>
        <n v="21506116"/>
        <n v="103831744"/>
        <n v="57208566"/>
        <n v="92102308"/>
        <n v="130172545"/>
        <n v="179953430"/>
        <n v="120662352"/>
        <n v="55794880"/>
      </sharedItems>
    </cacheField>
    <cacheField name="택시" numFmtId="0">
      <sharedItems containsSemiMixedTypes="0" containsString="0" containsNumber="1" containsInteger="1" minValue="3556554" maxValue="31707708"/>
    </cacheField>
    <cacheField name="인구수" numFmtId="3">
      <sharedItems containsSemiMixedTypes="0" containsString="0" containsNumber="1" containsInteger="1" minValue="120437" maxValue="658801"/>
    </cacheField>
    <cacheField name="자동차_등록대수" numFmtId="0">
      <sharedItems containsSemiMixedTypes="0" containsString="0" containsNumber="1" containsInteger="1" minValue="50049" maxValue="256099"/>
    </cacheField>
    <cacheField name="전년대비 자동차_증감" numFmtId="0">
      <sharedItems containsSemiMixedTypes="0" containsString="0" containsNumber="1" containsInteger="1" minValue="-3984" maxValue="9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0.478923148148" createdVersion="8" refreshedVersion="8" minRefreshableVersion="3" recordCount="100" xr:uid="{D6C47D90-D9D5-433F-9E17-01D46B6722B1}">
  <cacheSource type="worksheet">
    <worksheetSource ref="A1:I101" sheet="지역별 파이그래프"/>
  </cacheSource>
  <cacheFields count="9">
    <cacheField name="연도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자치구" numFmtId="0">
      <sharedItems count="25">
        <s v="종로구"/>
        <s v="중구"/>
        <s v="용산구"/>
        <s v="성동구"/>
        <s v="광진구"/>
        <s v="동대문구"/>
        <s v="중랑구"/>
        <s v="성북구"/>
        <s v="강북구"/>
        <s v="도봉구"/>
        <s v="노원구"/>
        <s v="은평구"/>
        <s v="서대문구"/>
        <s v="마포구"/>
        <s v="양천구"/>
        <s v="강서구"/>
        <s v="구로구"/>
        <s v="금천구"/>
        <s v="영등포구"/>
        <s v="동작구"/>
        <s v="관악구"/>
        <s v="서초구"/>
        <s v="강남구"/>
        <s v="송파구"/>
        <s v="강동구"/>
      </sharedItems>
    </cacheField>
    <cacheField name="소계" numFmtId="0">
      <sharedItems containsSemiMixedTypes="0" containsString="0" containsNumber="1" containsInteger="1" minValue="66752284" maxValue="322927844"/>
    </cacheField>
    <cacheField name="버스" numFmtId="0">
      <sharedItems containsSemiMixedTypes="0" containsString="0" containsNumber="1" containsInteger="1" minValue="29859594" maxValue="111266706"/>
    </cacheField>
    <cacheField name="지하철" numFmtId="0">
      <sharedItems containsSemiMixedTypes="0" containsString="0" containsNumber="1" containsInteger="1" minValue="19830665" maxValue="179953430"/>
    </cacheField>
    <cacheField name="택시" numFmtId="0">
      <sharedItems containsSemiMixedTypes="0" containsString="0" containsNumber="1" containsInteger="1" minValue="3556554" maxValue="31707708"/>
    </cacheField>
    <cacheField name="인구수" numFmtId="3">
      <sharedItems containsSemiMixedTypes="0" containsString="0" containsNumber="1" containsInteger="1" minValue="120437" maxValue="658801"/>
    </cacheField>
    <cacheField name="자동차_등록대수" numFmtId="0">
      <sharedItems containsSemiMixedTypes="0" containsString="0" containsNumber="1" containsInteger="1" minValue="50049" maxValue="256099"/>
    </cacheField>
    <cacheField name="전년대비 자동차_증감" numFmtId="0">
      <sharedItems containsSemiMixedTypes="0" containsString="0" containsNumber="1" containsInteger="1" minValue="-3984" maxValue="9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0.506447337961" createdVersion="8" refreshedVersion="8" minRefreshableVersion="3" recordCount="100" xr:uid="{7120462A-EB03-477E-98EE-265E1DD67F07}">
  <cacheSource type="worksheet">
    <worksheetSource ref="A1:I101" sheet="인구수 자동차등록대수 상관"/>
  </cacheSource>
  <cacheFields count="9">
    <cacheField name="연도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자치구" numFmtId="0">
      <sharedItems/>
    </cacheField>
    <cacheField name="소계" numFmtId="0">
      <sharedItems containsSemiMixedTypes="0" containsString="0" containsNumber="1" containsInteger="1" minValue="66752284" maxValue="322927844"/>
    </cacheField>
    <cacheField name="버스" numFmtId="0">
      <sharedItems containsSemiMixedTypes="0" containsString="0" containsNumber="1" containsInteger="1" minValue="29859594" maxValue="111266706"/>
    </cacheField>
    <cacheField name="지하철" numFmtId="0">
      <sharedItems containsSemiMixedTypes="0" containsString="0" containsNumber="1" containsInteger="1" minValue="19830665" maxValue="179953430"/>
    </cacheField>
    <cacheField name="택시" numFmtId="0">
      <sharedItems containsSemiMixedTypes="0" containsString="0" containsNumber="1" containsInteger="1" minValue="3556554" maxValue="31707708"/>
    </cacheField>
    <cacheField name="인구수" numFmtId="3">
      <sharedItems containsSemiMixedTypes="0" containsString="0" containsNumber="1" containsInteger="1" minValue="120437" maxValue="658801" count="100">
        <n v="144683"/>
        <n v="122499"/>
        <n v="222953"/>
        <n v="285990"/>
        <n v="339996"/>
        <n v="337400"/>
        <n v="387350"/>
        <n v="430528"/>
        <n v="299182"/>
        <n v="317366"/>
        <n v="510956"/>
        <n v="473307"/>
        <n v="304819"/>
        <n v="368905"/>
        <n v="447302"/>
        <n v="574315"/>
        <n v="396754"/>
        <n v="230811"/>
        <n v="376837"/>
        <n v="385483"/>
        <n v="485699"/>
        <n v="412279"/>
        <n v="533042"/>
        <n v="658338"/>
        <n v="462664"/>
        <n v="141379"/>
        <n v="120437"/>
        <n v="218650"/>
        <n v="281000"/>
        <n v="337416"/>
        <n v="336644"/>
        <n v="385318"/>
        <n v="430397"/>
        <n v="293660"/>
        <n v="311694"/>
        <n v="503734"/>
        <n v="466746"/>
        <n v="306337"/>
        <n v="364638"/>
        <n v="440881"/>
        <n v="569166"/>
        <n v="395315"/>
        <n v="229642"/>
        <n v="375675"/>
        <n v="380596"/>
        <n v="486752"/>
        <n v="404325"/>
        <n v="529102"/>
        <n v="658801"/>
        <n v="460067"/>
        <n v="139417"/>
        <n v="121312"/>
        <n v="213151"/>
        <n v="277361"/>
        <n v="335554"/>
        <n v="341149"/>
        <n v="382155"/>
        <n v="425602"/>
        <n v="288113"/>
        <n v="306948"/>
        <n v="498213"/>
        <n v="466770"/>
        <n v="306231"/>
        <n v="363697"/>
        <n v="436028"/>
        <n v="563058"/>
        <n v="392405"/>
        <n v="227481"/>
        <n v="374794"/>
        <n v="378769"/>
        <n v="481956"/>
        <n v="407664"/>
        <n v="544873"/>
        <n v="654166"/>
        <n v="459167"/>
        <n v="138336"/>
        <n v="120544"/>
        <n v="203854"/>
        <n v="273669"/>
        <n v="331963"/>
        <n v="338735"/>
        <n v="379274"/>
        <n v="421560"/>
        <n v="283597"/>
        <n v="303228"/>
        <n v="491247"/>
        <n v="460919"/>
        <n v="302853"/>
        <n v="361417"/>
        <n v="430976"/>
        <n v="556171"/>
        <n v="388169"/>
        <n v="225159"/>
        <n v="373773"/>
        <n v="375799"/>
        <n v="477812"/>
        <n v="408376"/>
        <n v="557345"/>
        <n v="650110"/>
        <n v="476942"/>
      </sharedItems>
    </cacheField>
    <cacheField name="자동차_등록대수" numFmtId="0">
      <sharedItems containsSemiMixedTypes="0" containsString="0" containsNumber="1" containsInteger="1" minValue="50049" maxValue="256099"/>
    </cacheField>
    <cacheField name="전년대비 자동차_증감" numFmtId="0">
      <sharedItems containsSemiMixedTypes="0" containsString="0" containsNumber="1" containsInteger="1" minValue="-3984" maxValue="9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종로구"/>
    <n v="141759969"/>
    <x v="0"/>
    <x v="0"/>
    <n v="8167055"/>
    <n v="144683"/>
    <n v="50049"/>
    <n v="-11"/>
  </r>
  <r>
    <x v="0"/>
    <s v="중구"/>
    <n v="149856039"/>
    <x v="1"/>
    <x v="1"/>
    <n v="9727454"/>
    <n v="122499"/>
    <n v="53107"/>
    <n v="1947"/>
  </r>
  <r>
    <x v="0"/>
    <s v="용산구"/>
    <n v="87031985"/>
    <x v="2"/>
    <x v="2"/>
    <n v="10790696"/>
    <n v="222953"/>
    <n v="79486"/>
    <n v="3005"/>
  </r>
  <r>
    <x v="0"/>
    <s v="성동구"/>
    <n v="96087425"/>
    <x v="3"/>
    <x v="3"/>
    <n v="8064905"/>
    <n v="285990"/>
    <n v="106435"/>
    <n v="905"/>
  </r>
  <r>
    <x v="0"/>
    <s v="광진구"/>
    <n v="95731490"/>
    <x v="4"/>
    <x v="4"/>
    <n v="9237922"/>
    <n v="339996"/>
    <n v="98658"/>
    <n v="-114"/>
  </r>
  <r>
    <x v="0"/>
    <s v="동대문구"/>
    <n v="97942712"/>
    <x v="5"/>
    <x v="5"/>
    <n v="8932560"/>
    <n v="337400"/>
    <n v="98170"/>
    <n v="352"/>
  </r>
  <r>
    <x v="0"/>
    <s v="중랑구"/>
    <n v="79293944"/>
    <x v="6"/>
    <x v="6"/>
    <n v="8154731"/>
    <n v="387350"/>
    <n v="114237"/>
    <n v="2120"/>
  </r>
  <r>
    <x v="0"/>
    <s v="성북구"/>
    <n v="112791260"/>
    <x v="7"/>
    <x v="7"/>
    <n v="7039123"/>
    <n v="430528"/>
    <n v="120909"/>
    <n v="1727"/>
  </r>
  <r>
    <x v="0"/>
    <s v="강북구"/>
    <n v="88255787"/>
    <x v="8"/>
    <x v="8"/>
    <n v="5932508"/>
    <n v="299182"/>
    <n v="75570"/>
    <n v="-511"/>
  </r>
  <r>
    <x v="0"/>
    <s v="도봉구"/>
    <n v="67739876"/>
    <x v="9"/>
    <x v="9"/>
    <n v="5521781"/>
    <n v="317366"/>
    <n v="95462"/>
    <n v="-389"/>
  </r>
  <r>
    <x v="0"/>
    <s v="노원구"/>
    <n v="108740071"/>
    <x v="10"/>
    <x v="10"/>
    <n v="9665232"/>
    <n v="510956"/>
    <n v="152701"/>
    <n v="533"/>
  </r>
  <r>
    <x v="0"/>
    <s v="은평구"/>
    <n v="110416503"/>
    <x v="11"/>
    <x v="11"/>
    <n v="7579254"/>
    <n v="473307"/>
    <n v="132052"/>
    <n v="2789"/>
  </r>
  <r>
    <x v="0"/>
    <s v="서대문구"/>
    <n v="95958124"/>
    <x v="12"/>
    <x v="12"/>
    <n v="6519909"/>
    <n v="304819"/>
    <n v="89578"/>
    <n v="1541"/>
  </r>
  <r>
    <x v="0"/>
    <s v="마포구"/>
    <n v="148131112"/>
    <x v="13"/>
    <x v="13"/>
    <n v="12193528"/>
    <n v="368905"/>
    <n v="119380"/>
    <n v="1069"/>
  </r>
  <r>
    <x v="0"/>
    <s v="양천구"/>
    <n v="83179122"/>
    <x v="14"/>
    <x v="14"/>
    <n v="6635854"/>
    <n v="447302"/>
    <n v="151626"/>
    <n v="2268"/>
  </r>
  <r>
    <x v="0"/>
    <s v="강서구"/>
    <n v="125896852"/>
    <x v="15"/>
    <x v="15"/>
    <n v="10994705"/>
    <n v="574315"/>
    <n v="204246"/>
    <n v="-97"/>
  </r>
  <r>
    <x v="0"/>
    <s v="구로구"/>
    <n v="123387880"/>
    <x v="16"/>
    <x v="16"/>
    <n v="7113869"/>
    <n v="396754"/>
    <n v="144667"/>
    <n v="906"/>
  </r>
  <r>
    <x v="0"/>
    <s v="금천구"/>
    <n v="66752284"/>
    <x v="17"/>
    <x v="17"/>
    <n v="4782615"/>
    <n v="230811"/>
    <n v="88945"/>
    <n v="1497"/>
  </r>
  <r>
    <x v="0"/>
    <s v="영등포구"/>
    <n v="157499505"/>
    <x v="18"/>
    <x v="18"/>
    <n v="14133151"/>
    <n v="376837"/>
    <n v="146625"/>
    <n v="3861"/>
  </r>
  <r>
    <x v="0"/>
    <s v="동작구"/>
    <n v="109377406"/>
    <x v="19"/>
    <x v="19"/>
    <n v="5482208"/>
    <n v="385483"/>
    <n v="105722"/>
    <n v="653"/>
  </r>
  <r>
    <x v="0"/>
    <s v="관악구"/>
    <n v="166188364"/>
    <x v="20"/>
    <x v="20"/>
    <n v="8799726"/>
    <n v="485699"/>
    <n v="118943"/>
    <n v="-509"/>
  </r>
  <r>
    <x v="0"/>
    <s v="서초구"/>
    <n v="191318304"/>
    <x v="21"/>
    <x v="21"/>
    <n v="14220978"/>
    <n v="412279"/>
    <n v="178778"/>
    <n v="-2235"/>
  </r>
  <r>
    <x v="0"/>
    <s v="강남구"/>
    <n v="263148318"/>
    <x v="22"/>
    <x v="22"/>
    <n v="30147451"/>
    <n v="533042"/>
    <n v="235796"/>
    <n v="602"/>
  </r>
  <r>
    <x v="0"/>
    <s v="송파구"/>
    <n v="166423657"/>
    <x v="23"/>
    <x v="23"/>
    <n v="16186249"/>
    <n v="658338"/>
    <n v="245565"/>
    <n v="4591"/>
  </r>
  <r>
    <x v="0"/>
    <s v="강동구"/>
    <n v="87515237"/>
    <x v="24"/>
    <x v="24"/>
    <n v="9550836"/>
    <n v="462664"/>
    <n v="152003"/>
    <n v="6877"/>
  </r>
  <r>
    <x v="1"/>
    <s v="종로구"/>
    <n v="164935619"/>
    <x v="25"/>
    <x v="25"/>
    <n v="8160903"/>
    <n v="141379"/>
    <n v="50832"/>
    <n v="783"/>
  </r>
  <r>
    <x v="1"/>
    <s v="중구"/>
    <n v="176154824"/>
    <x v="26"/>
    <x v="26"/>
    <n v="9664890"/>
    <n v="120437"/>
    <n v="60081"/>
    <n v="6974"/>
  </r>
  <r>
    <x v="1"/>
    <s v="용산구"/>
    <n v="100875869"/>
    <x v="27"/>
    <x v="27"/>
    <n v="10968319"/>
    <n v="218650"/>
    <n v="79420"/>
    <n v="-66"/>
  </r>
  <r>
    <x v="1"/>
    <s v="성동구"/>
    <n v="106165626"/>
    <x v="28"/>
    <x v="28"/>
    <n v="7738640"/>
    <n v="281000"/>
    <n v="106035"/>
    <n v="-400"/>
  </r>
  <r>
    <x v="1"/>
    <s v="광진구"/>
    <n v="107246102"/>
    <x v="29"/>
    <x v="29"/>
    <n v="9150945"/>
    <n v="337416"/>
    <n v="99126"/>
    <n v="468"/>
  </r>
  <r>
    <x v="1"/>
    <s v="동대문구"/>
    <n v="106610793"/>
    <x v="30"/>
    <x v="30"/>
    <n v="8472038"/>
    <n v="336644"/>
    <n v="98574"/>
    <n v="404"/>
  </r>
  <r>
    <x v="1"/>
    <s v="중랑구"/>
    <n v="85919590"/>
    <x v="31"/>
    <x v="31"/>
    <n v="7943028"/>
    <n v="385318"/>
    <n v="114961"/>
    <n v="724"/>
  </r>
  <r>
    <x v="1"/>
    <s v="성북구"/>
    <n v="126169567"/>
    <x v="32"/>
    <x v="32"/>
    <n v="6598855"/>
    <n v="430397"/>
    <n v="122016"/>
    <n v="1107"/>
  </r>
  <r>
    <x v="1"/>
    <s v="강북구"/>
    <n v="94283492"/>
    <x v="33"/>
    <x v="33"/>
    <n v="5844333"/>
    <n v="293660"/>
    <n v="75148"/>
    <n v="-422"/>
  </r>
  <r>
    <x v="1"/>
    <s v="도봉구"/>
    <n v="71242195"/>
    <x v="34"/>
    <x v="34"/>
    <n v="5354651"/>
    <n v="311694"/>
    <n v="95573"/>
    <n v="111"/>
  </r>
  <r>
    <x v="1"/>
    <s v="노원구"/>
    <n v="117486557"/>
    <x v="35"/>
    <x v="35"/>
    <n v="9643000"/>
    <n v="503734"/>
    <n v="152305"/>
    <n v="-396"/>
  </r>
  <r>
    <x v="1"/>
    <s v="은평구"/>
    <n v="117881189"/>
    <x v="36"/>
    <x v="36"/>
    <n v="7152353"/>
    <n v="466746"/>
    <n v="133291"/>
    <n v="1239"/>
  </r>
  <r>
    <x v="1"/>
    <s v="서대문구"/>
    <n v="107163842"/>
    <x v="37"/>
    <x v="37"/>
    <n v="6253061"/>
    <n v="306337"/>
    <n v="89435"/>
    <n v="-143"/>
  </r>
  <r>
    <x v="1"/>
    <s v="마포구"/>
    <n v="169324041"/>
    <x v="38"/>
    <x v="38"/>
    <n v="12864715"/>
    <n v="364638"/>
    <n v="121250"/>
    <n v="1870"/>
  </r>
  <r>
    <x v="1"/>
    <s v="양천구"/>
    <n v="89458448"/>
    <x v="39"/>
    <x v="39"/>
    <n v="6282670"/>
    <n v="440881"/>
    <n v="151251"/>
    <n v="-375"/>
  </r>
  <r>
    <x v="1"/>
    <s v="강서구"/>
    <n v="136615826"/>
    <x v="40"/>
    <x v="40"/>
    <n v="11273287"/>
    <n v="569166"/>
    <n v="206352"/>
    <n v="2106"/>
  </r>
  <r>
    <x v="1"/>
    <s v="구로구"/>
    <n v="127504110"/>
    <x v="41"/>
    <x v="41"/>
    <n v="6881163"/>
    <n v="395315"/>
    <n v="146040"/>
    <n v="1373"/>
  </r>
  <r>
    <x v="1"/>
    <s v="금천구"/>
    <n v="70056965"/>
    <x v="42"/>
    <x v="42"/>
    <n v="4526171"/>
    <n v="229642"/>
    <n v="90508"/>
    <n v="1563"/>
  </r>
  <r>
    <x v="1"/>
    <s v="영등포구"/>
    <n v="174830984"/>
    <x v="43"/>
    <x v="43"/>
    <n v="13650593"/>
    <n v="375675"/>
    <n v="145946"/>
    <n v="-679"/>
  </r>
  <r>
    <x v="1"/>
    <s v="동작구"/>
    <n v="119187672"/>
    <x v="44"/>
    <x v="44"/>
    <n v="5071279"/>
    <n v="380596"/>
    <n v="106263"/>
    <n v="541"/>
  </r>
  <r>
    <x v="1"/>
    <s v="관악구"/>
    <n v="183319578"/>
    <x v="45"/>
    <x v="45"/>
    <n v="8327226"/>
    <n v="486752"/>
    <n v="118148"/>
    <n v="-795"/>
  </r>
  <r>
    <x v="1"/>
    <s v="서초구"/>
    <n v="209014453"/>
    <x v="46"/>
    <x v="46"/>
    <n v="13494848"/>
    <n v="404325"/>
    <n v="176639"/>
    <n v="-2139"/>
  </r>
  <r>
    <x v="1"/>
    <s v="강남구"/>
    <n v="293965811"/>
    <x v="47"/>
    <x v="47"/>
    <n v="29313393"/>
    <n v="529102"/>
    <n v="240480"/>
    <n v="4684"/>
  </r>
  <r>
    <x v="1"/>
    <s v="송파구"/>
    <n v="187955776"/>
    <x v="48"/>
    <x v="48"/>
    <n v="16016973"/>
    <n v="658801"/>
    <n v="248750"/>
    <n v="3185"/>
  </r>
  <r>
    <x v="1"/>
    <s v="강동구"/>
    <n v="93924693"/>
    <x v="49"/>
    <x v="49"/>
    <n v="9313432"/>
    <n v="460067"/>
    <n v="151875"/>
    <n v="-128"/>
  </r>
  <r>
    <x v="2"/>
    <s v="종로구"/>
    <n v="178567702"/>
    <x v="50"/>
    <x v="50"/>
    <n v="7137801"/>
    <n v="139417"/>
    <n v="51000"/>
    <n v="168"/>
  </r>
  <r>
    <x v="2"/>
    <s v="중구"/>
    <n v="202324327"/>
    <x v="51"/>
    <x v="51"/>
    <n v="8987078"/>
    <n v="121312"/>
    <n v="57666"/>
    <n v="-2415"/>
  </r>
  <r>
    <x v="2"/>
    <s v="용산구"/>
    <n v="107760931"/>
    <x v="52"/>
    <x v="52"/>
    <n v="9529362"/>
    <n v="213151"/>
    <n v="75436"/>
    <n v="-3984"/>
  </r>
  <r>
    <x v="2"/>
    <s v="성동구"/>
    <n v="111717923"/>
    <x v="53"/>
    <x v="53"/>
    <n v="6300965"/>
    <n v="277361"/>
    <n v="104782"/>
    <n v="-1253"/>
  </r>
  <r>
    <x v="2"/>
    <s v="광진구"/>
    <n v="111528164"/>
    <x v="54"/>
    <x v="54"/>
    <n v="7212412"/>
    <n v="335554"/>
    <n v="97936"/>
    <n v="-1190"/>
  </r>
  <r>
    <x v="2"/>
    <s v="동대문구"/>
    <n v="111611079"/>
    <x v="55"/>
    <x v="55"/>
    <n v="6352790"/>
    <n v="341149"/>
    <n v="99947"/>
    <n v="1373"/>
  </r>
  <r>
    <x v="2"/>
    <s v="중랑구"/>
    <n v="88060625"/>
    <x v="56"/>
    <x v="56"/>
    <n v="5868931"/>
    <n v="382155"/>
    <n v="116523"/>
    <n v="1562"/>
  </r>
  <r>
    <x v="2"/>
    <s v="성북구"/>
    <n v="131105290"/>
    <x v="57"/>
    <x v="57"/>
    <n v="4934692"/>
    <n v="425602"/>
    <n v="122811"/>
    <n v="795"/>
  </r>
  <r>
    <x v="2"/>
    <s v="강북구"/>
    <n v="95421485"/>
    <x v="58"/>
    <x v="58"/>
    <n v="4154257"/>
    <n v="288113"/>
    <n v="75166"/>
    <n v="18"/>
  </r>
  <r>
    <x v="2"/>
    <s v="도봉구"/>
    <n v="71661572"/>
    <x v="59"/>
    <x v="59"/>
    <n v="3556554"/>
    <n v="306948"/>
    <n v="95623"/>
    <n v="50"/>
  </r>
  <r>
    <x v="2"/>
    <s v="노원구"/>
    <n v="119823856"/>
    <x v="60"/>
    <x v="60"/>
    <n v="6749475"/>
    <n v="498213"/>
    <n v="152633"/>
    <n v="328"/>
  </r>
  <r>
    <x v="2"/>
    <s v="은평구"/>
    <n v="120374400"/>
    <x v="61"/>
    <x v="61"/>
    <n v="5213363"/>
    <n v="466770"/>
    <n v="133469"/>
    <n v="178"/>
  </r>
  <r>
    <x v="2"/>
    <s v="서대문구"/>
    <n v="113855153"/>
    <x v="62"/>
    <x v="62"/>
    <n v="4980135"/>
    <n v="306231"/>
    <n v="91862"/>
    <n v="2427"/>
  </r>
  <r>
    <x v="2"/>
    <s v="마포구"/>
    <n v="182982275"/>
    <x v="63"/>
    <x v="63"/>
    <n v="11326566"/>
    <n v="363697"/>
    <n v="122415"/>
    <n v="1165"/>
  </r>
  <r>
    <x v="2"/>
    <s v="양천구"/>
    <n v="91670267"/>
    <x v="64"/>
    <x v="64"/>
    <n v="4721499"/>
    <n v="436028"/>
    <n v="151668"/>
    <n v="417"/>
  </r>
  <r>
    <x v="2"/>
    <s v="강서구"/>
    <n v="141725103"/>
    <x v="65"/>
    <x v="65"/>
    <n v="8856021"/>
    <n v="563058"/>
    <n v="206104"/>
    <n v="-248"/>
  </r>
  <r>
    <x v="2"/>
    <s v="구로구"/>
    <n v="131422494"/>
    <x v="66"/>
    <x v="66"/>
    <n v="5506997"/>
    <n v="392405"/>
    <n v="148719"/>
    <n v="2679"/>
  </r>
  <r>
    <x v="2"/>
    <s v="금천구"/>
    <n v="71105776"/>
    <x v="67"/>
    <x v="67"/>
    <n v="3562081"/>
    <n v="227481"/>
    <n v="92223"/>
    <n v="1715"/>
  </r>
  <r>
    <x v="2"/>
    <s v="영등포구"/>
    <n v="184031098"/>
    <x v="68"/>
    <x v="68"/>
    <n v="11399168"/>
    <n v="374794"/>
    <n v="144662"/>
    <n v="-1284"/>
  </r>
  <r>
    <x v="2"/>
    <s v="동작구"/>
    <n v="122261047"/>
    <x v="69"/>
    <x v="69"/>
    <n v="4043040"/>
    <n v="378769"/>
    <n v="106150"/>
    <n v="-113"/>
  </r>
  <r>
    <x v="2"/>
    <s v="관악구"/>
    <n v="186640714"/>
    <x v="70"/>
    <x v="70"/>
    <n v="6588738"/>
    <n v="481956"/>
    <n v="118886"/>
    <n v="738"/>
  </r>
  <r>
    <x v="2"/>
    <s v="서초구"/>
    <n v="217494174"/>
    <x v="71"/>
    <x v="71"/>
    <n v="11497071"/>
    <n v="407664"/>
    <n v="176137"/>
    <n v="-502"/>
  </r>
  <r>
    <x v="2"/>
    <s v="강남구"/>
    <n v="306070238"/>
    <x v="72"/>
    <x v="72"/>
    <n v="25466495"/>
    <n v="544873"/>
    <n v="250445"/>
    <n v="9965"/>
  </r>
  <r>
    <x v="2"/>
    <s v="송파구"/>
    <n v="197679387"/>
    <x v="73"/>
    <x v="73"/>
    <n v="12546837"/>
    <n v="654166"/>
    <n v="245597"/>
    <n v="-3153"/>
  </r>
  <r>
    <x v="2"/>
    <s v="강동구"/>
    <n v="94011660"/>
    <x v="74"/>
    <x v="74"/>
    <n v="6731513"/>
    <n v="459167"/>
    <n v="153678"/>
    <n v="1803"/>
  </r>
  <r>
    <x v="3"/>
    <s v="종로구"/>
    <n v="186553232"/>
    <x v="75"/>
    <x v="75"/>
    <n v="9021065"/>
    <n v="138336"/>
    <n v="50482"/>
    <n v="-518"/>
  </r>
  <r>
    <x v="3"/>
    <s v="중구"/>
    <n v="216622466"/>
    <x v="76"/>
    <x v="76"/>
    <n v="11892437"/>
    <n v="120544"/>
    <n v="54332"/>
    <n v="-3334"/>
  </r>
  <r>
    <x v="3"/>
    <s v="용산구"/>
    <n v="115155774"/>
    <x v="77"/>
    <x v="77"/>
    <n v="12496071"/>
    <n v="203854"/>
    <n v="74001"/>
    <n v="-1435"/>
  </r>
  <r>
    <x v="3"/>
    <s v="성동구"/>
    <n v="118721700"/>
    <x v="78"/>
    <x v="78"/>
    <n v="7780299"/>
    <n v="273669"/>
    <n v="104641"/>
    <n v="-141"/>
  </r>
  <r>
    <x v="3"/>
    <s v="광진구"/>
    <n v="115686552"/>
    <x v="79"/>
    <x v="79"/>
    <n v="8504662"/>
    <n v="331963"/>
    <n v="97218"/>
    <n v="-718"/>
  </r>
  <r>
    <x v="3"/>
    <s v="동대문구"/>
    <n v="117287598"/>
    <x v="80"/>
    <x v="80"/>
    <n v="7418058"/>
    <n v="338735"/>
    <n v="102749"/>
    <n v="2802"/>
  </r>
  <r>
    <x v="3"/>
    <s v="중랑구"/>
    <n v="90693667"/>
    <x v="81"/>
    <x v="81"/>
    <n v="6564251"/>
    <n v="379274"/>
    <n v="116575"/>
    <n v="52"/>
  </r>
  <r>
    <x v="3"/>
    <s v="성북구"/>
    <n v="135254268"/>
    <x v="82"/>
    <x v="82"/>
    <n v="5892542"/>
    <n v="421560"/>
    <n v="122135"/>
    <n v="-676"/>
  </r>
  <r>
    <x v="3"/>
    <s v="강북구"/>
    <n v="97599102"/>
    <x v="83"/>
    <x v="83"/>
    <n v="4815306"/>
    <n v="283597"/>
    <n v="74169"/>
    <n v="-997"/>
  </r>
  <r>
    <x v="3"/>
    <s v="도봉구"/>
    <n v="74280229"/>
    <x v="84"/>
    <x v="84"/>
    <n v="4317244"/>
    <n v="303228"/>
    <n v="94946"/>
    <n v="-677"/>
  </r>
  <r>
    <x v="3"/>
    <s v="노원구"/>
    <n v="127177261"/>
    <x v="85"/>
    <x v="85"/>
    <n v="7875599"/>
    <n v="491247"/>
    <n v="152155"/>
    <n v="-478"/>
  </r>
  <r>
    <x v="3"/>
    <s v="은평구"/>
    <n v="124945537"/>
    <x v="86"/>
    <x v="86"/>
    <n v="6459381"/>
    <n v="460919"/>
    <n v="135047"/>
    <n v="1578"/>
  </r>
  <r>
    <x v="3"/>
    <s v="서대문구"/>
    <n v="118572562"/>
    <x v="87"/>
    <x v="87"/>
    <n v="6050529"/>
    <n v="302853"/>
    <n v="91650"/>
    <n v="-212"/>
  </r>
  <r>
    <x v="3"/>
    <s v="마포구"/>
    <n v="193806111"/>
    <x v="88"/>
    <x v="88"/>
    <n v="14349022"/>
    <n v="361417"/>
    <n v="121943"/>
    <n v="-472"/>
  </r>
  <r>
    <x v="3"/>
    <s v="양천구"/>
    <n v="94359714"/>
    <x v="89"/>
    <x v="89"/>
    <n v="5705269"/>
    <n v="430976"/>
    <n v="151189"/>
    <n v="-479"/>
  </r>
  <r>
    <x v="3"/>
    <s v="강서구"/>
    <n v="147998353"/>
    <x v="90"/>
    <x v="90"/>
    <n v="10865833"/>
    <n v="556171"/>
    <n v="204600"/>
    <n v="-1504"/>
  </r>
  <r>
    <x v="3"/>
    <s v="구로구"/>
    <n v="134451191"/>
    <x v="91"/>
    <x v="91"/>
    <n v="6560520"/>
    <n v="388169"/>
    <n v="147678"/>
    <n v="-1041"/>
  </r>
  <r>
    <x v="3"/>
    <s v="금천구"/>
    <n v="71518788"/>
    <x v="92"/>
    <x v="92"/>
    <n v="4182936"/>
    <n v="225159"/>
    <n v="91975"/>
    <n v="-248"/>
  </r>
  <r>
    <x v="3"/>
    <s v="영등포구"/>
    <n v="192291682"/>
    <x v="93"/>
    <x v="93"/>
    <n v="14080187"/>
    <n v="373773"/>
    <n v="144665"/>
    <n v="3"/>
  </r>
  <r>
    <x v="3"/>
    <s v="동작구"/>
    <n v="127517515"/>
    <x v="94"/>
    <x v="94"/>
    <n v="4909739"/>
    <n v="375799"/>
    <n v="106362"/>
    <n v="212"/>
  </r>
  <r>
    <x v="3"/>
    <s v="관악구"/>
    <n v="191528043"/>
    <x v="95"/>
    <x v="95"/>
    <n v="7776886"/>
    <n v="477812"/>
    <n v="117936"/>
    <n v="-950"/>
  </r>
  <r>
    <x v="3"/>
    <s v="서초구"/>
    <n v="225955483"/>
    <x v="96"/>
    <x v="96"/>
    <n v="14043834"/>
    <n v="408376"/>
    <n v="176628"/>
    <n v="491"/>
  </r>
  <r>
    <x v="3"/>
    <s v="강남구"/>
    <n v="322927844"/>
    <x v="97"/>
    <x v="97"/>
    <n v="31707708"/>
    <n v="557345"/>
    <n v="256099"/>
    <n v="5654"/>
  </r>
  <r>
    <x v="3"/>
    <s v="송파구"/>
    <n v="208052956"/>
    <x v="98"/>
    <x v="98"/>
    <n v="15463973"/>
    <n v="650110"/>
    <n v="244079"/>
    <n v="-1518"/>
  </r>
  <r>
    <x v="3"/>
    <s v="강동구"/>
    <n v="102160042"/>
    <x v="99"/>
    <x v="99"/>
    <n v="8331233"/>
    <n v="476942"/>
    <n v="154522"/>
    <n v="8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41759969"/>
    <n v="57821751"/>
    <n v="75771163"/>
    <n v="8167055"/>
    <n v="144683"/>
    <n v="50049"/>
    <n v="-11"/>
  </r>
  <r>
    <x v="0"/>
    <x v="1"/>
    <n v="149856039"/>
    <n v="39190006"/>
    <n v="100938579"/>
    <n v="9727454"/>
    <n v="122499"/>
    <n v="53107"/>
    <n v="1947"/>
  </r>
  <r>
    <x v="0"/>
    <x v="2"/>
    <n v="87031985"/>
    <n v="43905878"/>
    <n v="32335411"/>
    <n v="10790696"/>
    <n v="222953"/>
    <n v="79486"/>
    <n v="3005"/>
  </r>
  <r>
    <x v="0"/>
    <x v="3"/>
    <n v="96087425"/>
    <n v="31552270"/>
    <n v="56470250"/>
    <n v="8064905"/>
    <n v="285990"/>
    <n v="106435"/>
    <n v="905"/>
  </r>
  <r>
    <x v="0"/>
    <x v="4"/>
    <n v="95731490"/>
    <n v="29859594"/>
    <n v="56633974"/>
    <n v="9237922"/>
    <n v="339996"/>
    <n v="98658"/>
    <n v="-114"/>
  </r>
  <r>
    <x v="0"/>
    <x v="5"/>
    <n v="97942712"/>
    <n v="57791744"/>
    <n v="31218408"/>
    <n v="8932560"/>
    <n v="337400"/>
    <n v="98170"/>
    <n v="352"/>
  </r>
  <r>
    <x v="0"/>
    <x v="6"/>
    <n v="79293944"/>
    <n v="41568031"/>
    <n v="29571182"/>
    <n v="8154731"/>
    <n v="387350"/>
    <n v="114237"/>
    <n v="2120"/>
  </r>
  <r>
    <x v="0"/>
    <x v="7"/>
    <n v="112791260"/>
    <n v="67929727"/>
    <n v="37822410"/>
    <n v="7039123"/>
    <n v="430528"/>
    <n v="120909"/>
    <n v="1727"/>
  </r>
  <r>
    <x v="0"/>
    <x v="8"/>
    <n v="88255787"/>
    <n v="54255008"/>
    <n v="28068271"/>
    <n v="5932508"/>
    <n v="299182"/>
    <n v="75570"/>
    <n v="-511"/>
  </r>
  <r>
    <x v="0"/>
    <x v="9"/>
    <n v="67739876"/>
    <n v="37019485"/>
    <n v="25198610"/>
    <n v="5521781"/>
    <n v="317366"/>
    <n v="95462"/>
    <n v="-389"/>
  </r>
  <r>
    <x v="0"/>
    <x v="10"/>
    <n v="108740071"/>
    <n v="46165813"/>
    <n v="52909026"/>
    <n v="9665232"/>
    <n v="510956"/>
    <n v="152701"/>
    <n v="533"/>
  </r>
  <r>
    <x v="0"/>
    <x v="11"/>
    <n v="110416503"/>
    <n v="57517380"/>
    <n v="45319869"/>
    <n v="7579254"/>
    <n v="473307"/>
    <n v="132052"/>
    <n v="2789"/>
  </r>
  <r>
    <x v="0"/>
    <x v="12"/>
    <n v="95958124"/>
    <n v="60695355"/>
    <n v="28742860"/>
    <n v="6519909"/>
    <n v="304819"/>
    <n v="89578"/>
    <n v="1541"/>
  </r>
  <r>
    <x v="0"/>
    <x v="13"/>
    <n v="148131112"/>
    <n v="56944960"/>
    <n v="78992624"/>
    <n v="12193528"/>
    <n v="368905"/>
    <n v="119380"/>
    <n v="1069"/>
  </r>
  <r>
    <x v="0"/>
    <x v="14"/>
    <n v="83179122"/>
    <n v="46183700"/>
    <n v="30359568"/>
    <n v="6635854"/>
    <n v="447302"/>
    <n v="151626"/>
    <n v="2268"/>
  </r>
  <r>
    <x v="0"/>
    <x v="15"/>
    <n v="125896852"/>
    <n v="52107668"/>
    <n v="62794479"/>
    <n v="10994705"/>
    <n v="574315"/>
    <n v="204246"/>
    <n v="-97"/>
  </r>
  <r>
    <x v="0"/>
    <x v="16"/>
    <n v="123387880"/>
    <n v="60237240"/>
    <n v="56036771"/>
    <n v="7113869"/>
    <n v="396754"/>
    <n v="144667"/>
    <n v="906"/>
  </r>
  <r>
    <x v="0"/>
    <x v="17"/>
    <n v="66752284"/>
    <n v="42139004"/>
    <n v="19830665"/>
    <n v="4782615"/>
    <n v="230811"/>
    <n v="88945"/>
    <n v="1497"/>
  </r>
  <r>
    <x v="0"/>
    <x v="18"/>
    <n v="157499505"/>
    <n v="61964048"/>
    <n v="81402306"/>
    <n v="14133151"/>
    <n v="376837"/>
    <n v="146625"/>
    <n v="3861"/>
  </r>
  <r>
    <x v="0"/>
    <x v="19"/>
    <n v="109377406"/>
    <n v="58188663"/>
    <n v="45706535"/>
    <n v="5482208"/>
    <n v="385483"/>
    <n v="105722"/>
    <n v="653"/>
  </r>
  <r>
    <x v="0"/>
    <x v="20"/>
    <n v="166188364"/>
    <n v="81960533"/>
    <n v="75428105"/>
    <n v="8799726"/>
    <n v="485699"/>
    <n v="118943"/>
    <n v="-509"/>
  </r>
  <r>
    <x v="0"/>
    <x v="21"/>
    <n v="191318304"/>
    <n v="72872287"/>
    <n v="104225039"/>
    <n v="14220978"/>
    <n v="412279"/>
    <n v="178778"/>
    <n v="-2235"/>
  </r>
  <r>
    <x v="0"/>
    <x v="22"/>
    <n v="263148318"/>
    <n v="93477395"/>
    <n v="139523472"/>
    <n v="30147451"/>
    <n v="533042"/>
    <n v="235796"/>
    <n v="602"/>
  </r>
  <r>
    <x v="0"/>
    <x v="23"/>
    <n v="166423657"/>
    <n v="60517668"/>
    <n v="89719740"/>
    <n v="16186249"/>
    <n v="658338"/>
    <n v="245565"/>
    <n v="4591"/>
  </r>
  <r>
    <x v="0"/>
    <x v="24"/>
    <n v="87515237"/>
    <n v="32292610"/>
    <n v="45671791"/>
    <n v="9550836"/>
    <n v="462664"/>
    <n v="152003"/>
    <n v="6877"/>
  </r>
  <r>
    <x v="1"/>
    <x v="0"/>
    <n v="164935619"/>
    <n v="67454849"/>
    <n v="89319867"/>
    <n v="8160903"/>
    <n v="141379"/>
    <n v="50832"/>
    <n v="783"/>
  </r>
  <r>
    <x v="1"/>
    <x v="1"/>
    <n v="176154824"/>
    <n v="45724150"/>
    <n v="120765784"/>
    <n v="9664890"/>
    <n v="120437"/>
    <n v="60081"/>
    <n v="6974"/>
  </r>
  <r>
    <x v="1"/>
    <x v="2"/>
    <n v="100875869"/>
    <n v="50537978"/>
    <n v="39369572"/>
    <n v="10968319"/>
    <n v="218650"/>
    <n v="79420"/>
    <n v="-66"/>
  </r>
  <r>
    <x v="1"/>
    <x v="3"/>
    <n v="106165626"/>
    <n v="34157923"/>
    <n v="64269063"/>
    <n v="7738640"/>
    <n v="281000"/>
    <n v="106035"/>
    <n v="-400"/>
  </r>
  <r>
    <x v="1"/>
    <x v="4"/>
    <n v="107246102"/>
    <n v="33234902"/>
    <n v="64860255"/>
    <n v="9150945"/>
    <n v="337416"/>
    <n v="99126"/>
    <n v="468"/>
  </r>
  <r>
    <x v="1"/>
    <x v="5"/>
    <n v="106610793"/>
    <n v="63284045"/>
    <n v="34854710"/>
    <n v="8472038"/>
    <n v="336644"/>
    <n v="98574"/>
    <n v="404"/>
  </r>
  <r>
    <x v="1"/>
    <x v="6"/>
    <n v="85919590"/>
    <n v="46033124"/>
    <n v="31943438"/>
    <n v="7943028"/>
    <n v="385318"/>
    <n v="114961"/>
    <n v="724"/>
  </r>
  <r>
    <x v="1"/>
    <x v="7"/>
    <n v="126169567"/>
    <n v="76331592"/>
    <n v="43239120"/>
    <n v="6598855"/>
    <n v="430397"/>
    <n v="122016"/>
    <n v="1107"/>
  </r>
  <r>
    <x v="1"/>
    <x v="8"/>
    <n v="94283492"/>
    <n v="57994006"/>
    <n v="30445153"/>
    <n v="5844333"/>
    <n v="293660"/>
    <n v="75148"/>
    <n v="-422"/>
  </r>
  <r>
    <x v="1"/>
    <x v="9"/>
    <n v="71242195"/>
    <n v="38900295"/>
    <n v="26987249"/>
    <n v="5354651"/>
    <n v="311694"/>
    <n v="95573"/>
    <n v="111"/>
  </r>
  <r>
    <x v="1"/>
    <x v="10"/>
    <n v="117486557"/>
    <n v="50579231"/>
    <n v="57264326"/>
    <n v="9643000"/>
    <n v="503734"/>
    <n v="152305"/>
    <n v="-396"/>
  </r>
  <r>
    <x v="1"/>
    <x v="11"/>
    <n v="117881189"/>
    <n v="61790167"/>
    <n v="48938669"/>
    <n v="7152353"/>
    <n v="466746"/>
    <n v="133291"/>
    <n v="1239"/>
  </r>
  <r>
    <x v="1"/>
    <x v="12"/>
    <n v="107163842"/>
    <n v="68059904"/>
    <n v="32850877"/>
    <n v="6253061"/>
    <n v="306337"/>
    <n v="89435"/>
    <n v="-143"/>
  </r>
  <r>
    <x v="1"/>
    <x v="13"/>
    <n v="169324041"/>
    <n v="64510577"/>
    <n v="91948749"/>
    <n v="12864715"/>
    <n v="364638"/>
    <n v="121250"/>
    <n v="1870"/>
  </r>
  <r>
    <x v="1"/>
    <x v="14"/>
    <n v="89458448"/>
    <n v="49938837"/>
    <n v="33236941"/>
    <n v="6282670"/>
    <n v="440881"/>
    <n v="151251"/>
    <n v="-375"/>
  </r>
  <r>
    <x v="1"/>
    <x v="15"/>
    <n v="136615826"/>
    <n v="55871596"/>
    <n v="69470943"/>
    <n v="11273287"/>
    <n v="569166"/>
    <n v="206352"/>
    <n v="2106"/>
  </r>
  <r>
    <x v="1"/>
    <x v="16"/>
    <n v="127504110"/>
    <n v="61042525"/>
    <n v="59580422"/>
    <n v="6881163"/>
    <n v="395315"/>
    <n v="146040"/>
    <n v="1373"/>
  </r>
  <r>
    <x v="1"/>
    <x v="17"/>
    <n v="70056965"/>
    <n v="45064854"/>
    <n v="20465940"/>
    <n v="4526171"/>
    <n v="229642"/>
    <n v="90508"/>
    <n v="1563"/>
  </r>
  <r>
    <x v="1"/>
    <x v="18"/>
    <n v="174830984"/>
    <n v="69289958"/>
    <n v="91890433"/>
    <n v="13650593"/>
    <n v="375675"/>
    <n v="145946"/>
    <n v="-679"/>
  </r>
  <r>
    <x v="1"/>
    <x v="19"/>
    <n v="119187672"/>
    <n v="62588194"/>
    <n v="51528199"/>
    <n v="5071279"/>
    <n v="380596"/>
    <n v="106263"/>
    <n v="541"/>
  </r>
  <r>
    <x v="1"/>
    <x v="20"/>
    <n v="183319578"/>
    <n v="90076319"/>
    <n v="84916033"/>
    <n v="8327226"/>
    <n v="486752"/>
    <n v="118148"/>
    <n v="-795"/>
  </r>
  <r>
    <x v="1"/>
    <x v="21"/>
    <n v="209014453"/>
    <n v="78195534"/>
    <n v="117324071"/>
    <n v="13494848"/>
    <n v="404325"/>
    <n v="176639"/>
    <n v="-2139"/>
  </r>
  <r>
    <x v="1"/>
    <x v="22"/>
    <n v="293965811"/>
    <n v="103379977"/>
    <n v="161272441"/>
    <n v="29313393"/>
    <n v="529102"/>
    <n v="240480"/>
    <n v="4684"/>
  </r>
  <r>
    <x v="1"/>
    <x v="23"/>
    <n v="187955776"/>
    <n v="67415209"/>
    <n v="104523594"/>
    <n v="16016973"/>
    <n v="658801"/>
    <n v="248750"/>
    <n v="3185"/>
  </r>
  <r>
    <x v="1"/>
    <x v="24"/>
    <n v="93924693"/>
    <n v="35194304"/>
    <n v="49416957"/>
    <n v="9313432"/>
    <n v="460067"/>
    <n v="151875"/>
    <n v="-128"/>
  </r>
  <r>
    <x v="2"/>
    <x v="0"/>
    <n v="178567702"/>
    <n v="70681425"/>
    <n v="100748476"/>
    <n v="7137801"/>
    <n v="139417"/>
    <n v="51000"/>
    <n v="168"/>
  </r>
  <r>
    <x v="2"/>
    <x v="1"/>
    <n v="202324327"/>
    <n v="48721660"/>
    <n v="144615589"/>
    <n v="8987078"/>
    <n v="121312"/>
    <n v="57666"/>
    <n v="-2415"/>
  </r>
  <r>
    <x v="2"/>
    <x v="2"/>
    <n v="107760931"/>
    <n v="54008803"/>
    <n v="44222766"/>
    <n v="9529362"/>
    <n v="213151"/>
    <n v="75436"/>
    <n v="-3984"/>
  </r>
  <r>
    <x v="2"/>
    <x v="3"/>
    <n v="111717923"/>
    <n v="35237767"/>
    <n v="70179191"/>
    <n v="6300965"/>
    <n v="277361"/>
    <n v="104782"/>
    <n v="-1253"/>
  </r>
  <r>
    <x v="2"/>
    <x v="4"/>
    <n v="111528164"/>
    <n v="34809718"/>
    <n v="69506034"/>
    <n v="7212412"/>
    <n v="335554"/>
    <n v="97936"/>
    <n v="-1190"/>
  </r>
  <r>
    <x v="2"/>
    <x v="5"/>
    <n v="111611079"/>
    <n v="67437050"/>
    <n v="37821239"/>
    <n v="6352790"/>
    <n v="341149"/>
    <n v="99947"/>
    <n v="1373"/>
  </r>
  <r>
    <x v="2"/>
    <x v="6"/>
    <n v="88060625"/>
    <n v="48356010"/>
    <n v="33835684"/>
    <n v="5868931"/>
    <n v="382155"/>
    <n v="116523"/>
    <n v="1562"/>
  </r>
  <r>
    <x v="2"/>
    <x v="7"/>
    <n v="131105290"/>
    <n v="79361062"/>
    <n v="46809536"/>
    <n v="4934692"/>
    <n v="425602"/>
    <n v="122811"/>
    <n v="795"/>
  </r>
  <r>
    <x v="2"/>
    <x v="8"/>
    <n v="95421485"/>
    <n v="59000850"/>
    <n v="32266378"/>
    <n v="4154257"/>
    <n v="288113"/>
    <n v="75166"/>
    <n v="18"/>
  </r>
  <r>
    <x v="2"/>
    <x v="9"/>
    <n v="71661572"/>
    <n v="39783107"/>
    <n v="28321911"/>
    <n v="3556554"/>
    <n v="306948"/>
    <n v="95623"/>
    <n v="50"/>
  </r>
  <r>
    <x v="2"/>
    <x v="10"/>
    <n v="119823856"/>
    <n v="51726460"/>
    <n v="61347921"/>
    <n v="6749475"/>
    <n v="498213"/>
    <n v="152633"/>
    <n v="328"/>
  </r>
  <r>
    <x v="2"/>
    <x v="11"/>
    <n v="120374400"/>
    <n v="63338467"/>
    <n v="51822570"/>
    <n v="5213363"/>
    <n v="466770"/>
    <n v="133469"/>
    <n v="178"/>
  </r>
  <r>
    <x v="2"/>
    <x v="12"/>
    <n v="113855153"/>
    <n v="72292718"/>
    <n v="36582300"/>
    <n v="4980135"/>
    <n v="306231"/>
    <n v="91862"/>
    <n v="2427"/>
  </r>
  <r>
    <x v="2"/>
    <x v="13"/>
    <n v="182982275"/>
    <n v="68374401"/>
    <n v="103281308"/>
    <n v="11326566"/>
    <n v="363697"/>
    <n v="122415"/>
    <n v="1165"/>
  </r>
  <r>
    <x v="2"/>
    <x v="14"/>
    <n v="91670267"/>
    <n v="51701808"/>
    <n v="35246960"/>
    <n v="4721499"/>
    <n v="436028"/>
    <n v="151668"/>
    <n v="417"/>
  </r>
  <r>
    <x v="2"/>
    <x v="15"/>
    <n v="141725103"/>
    <n v="57398643"/>
    <n v="75470439"/>
    <n v="8856021"/>
    <n v="563058"/>
    <n v="206104"/>
    <n v="-248"/>
  </r>
  <r>
    <x v="2"/>
    <x v="16"/>
    <n v="131422494"/>
    <n v="62850315"/>
    <n v="63065182"/>
    <n v="5506997"/>
    <n v="392405"/>
    <n v="148719"/>
    <n v="2679"/>
  </r>
  <r>
    <x v="2"/>
    <x v="17"/>
    <n v="71105776"/>
    <n v="46171676"/>
    <n v="21372019"/>
    <n v="3562081"/>
    <n v="227481"/>
    <n v="92223"/>
    <n v="1715"/>
  </r>
  <r>
    <x v="2"/>
    <x v="18"/>
    <n v="184031098"/>
    <n v="72387873"/>
    <n v="100244057"/>
    <n v="11399168"/>
    <n v="374794"/>
    <n v="144662"/>
    <n v="-1284"/>
  </r>
  <r>
    <x v="2"/>
    <x v="19"/>
    <n v="122261047"/>
    <n v="62446828"/>
    <n v="55771179"/>
    <n v="4043040"/>
    <n v="378769"/>
    <n v="106150"/>
    <n v="-113"/>
  </r>
  <r>
    <x v="2"/>
    <x v="20"/>
    <n v="186640714"/>
    <n v="89284855"/>
    <n v="90767121"/>
    <n v="6588738"/>
    <n v="481956"/>
    <n v="118886"/>
    <n v="738"/>
  </r>
  <r>
    <x v="2"/>
    <x v="21"/>
    <n v="217494174"/>
    <n v="78646999"/>
    <n v="127350104"/>
    <n v="11497071"/>
    <n v="407664"/>
    <n v="176137"/>
    <n v="-502"/>
  </r>
  <r>
    <x v="2"/>
    <x v="22"/>
    <n v="306070238"/>
    <n v="104997484"/>
    <n v="175606259"/>
    <n v="25466495"/>
    <n v="544873"/>
    <n v="250445"/>
    <n v="9965"/>
  </r>
  <r>
    <x v="2"/>
    <x v="23"/>
    <n v="197679387"/>
    <n v="69881907"/>
    <n v="115250643"/>
    <n v="12546837"/>
    <n v="654166"/>
    <n v="245597"/>
    <n v="-3153"/>
  </r>
  <r>
    <x v="2"/>
    <x v="24"/>
    <n v="94011660"/>
    <n v="35282772"/>
    <n v="51997375"/>
    <n v="6731513"/>
    <n v="459167"/>
    <n v="153678"/>
    <n v="1803"/>
  </r>
  <r>
    <x v="3"/>
    <x v="0"/>
    <n v="186553232"/>
    <n v="74208386"/>
    <n v="103323781"/>
    <n v="9021065"/>
    <n v="138336"/>
    <n v="50482"/>
    <n v="-518"/>
  </r>
  <r>
    <x v="3"/>
    <x v="1"/>
    <n v="216622466"/>
    <n v="52435264"/>
    <n v="152294765"/>
    <n v="11892437"/>
    <n v="120544"/>
    <n v="54332"/>
    <n v="-3334"/>
  </r>
  <r>
    <x v="3"/>
    <x v="2"/>
    <n v="115155774"/>
    <n v="56796253"/>
    <n v="45863450"/>
    <n v="12496071"/>
    <n v="203854"/>
    <n v="74001"/>
    <n v="-1435"/>
  </r>
  <r>
    <x v="3"/>
    <x v="3"/>
    <n v="118721700"/>
    <n v="37079391"/>
    <n v="73862010"/>
    <n v="7780299"/>
    <n v="273669"/>
    <n v="104641"/>
    <n v="-141"/>
  </r>
  <r>
    <x v="3"/>
    <x v="4"/>
    <n v="115686552"/>
    <n v="36851896"/>
    <n v="70329994"/>
    <n v="8504662"/>
    <n v="331963"/>
    <n v="97218"/>
    <n v="-718"/>
  </r>
  <r>
    <x v="3"/>
    <x v="5"/>
    <n v="117287598"/>
    <n v="70686857"/>
    <n v="39182683"/>
    <n v="7418058"/>
    <n v="338735"/>
    <n v="102749"/>
    <n v="2802"/>
  </r>
  <r>
    <x v="3"/>
    <x v="6"/>
    <n v="90693667"/>
    <n v="49857596"/>
    <n v="34271820"/>
    <n v="6564251"/>
    <n v="379274"/>
    <n v="116575"/>
    <n v="52"/>
  </r>
  <r>
    <x v="3"/>
    <x v="7"/>
    <n v="135254268"/>
    <n v="81559692"/>
    <n v="47802034"/>
    <n v="5892542"/>
    <n v="421560"/>
    <n v="122135"/>
    <n v="-676"/>
  </r>
  <r>
    <x v="3"/>
    <x v="8"/>
    <n v="97599102"/>
    <n v="60149464"/>
    <n v="32634332"/>
    <n v="4815306"/>
    <n v="283597"/>
    <n v="74169"/>
    <n v="-997"/>
  </r>
  <r>
    <x v="3"/>
    <x v="9"/>
    <n v="74280229"/>
    <n v="40702065"/>
    <n v="29260920"/>
    <n v="4317244"/>
    <n v="303228"/>
    <n v="94946"/>
    <n v="-677"/>
  </r>
  <r>
    <x v="3"/>
    <x v="10"/>
    <n v="127177261"/>
    <n v="53541282"/>
    <n v="65760380"/>
    <n v="7875599"/>
    <n v="491247"/>
    <n v="152155"/>
    <n v="-478"/>
  </r>
  <r>
    <x v="3"/>
    <x v="11"/>
    <n v="124945537"/>
    <n v="65746264"/>
    <n v="52739892"/>
    <n v="6459381"/>
    <n v="460919"/>
    <n v="135047"/>
    <n v="1578"/>
  </r>
  <r>
    <x v="3"/>
    <x v="12"/>
    <n v="118572562"/>
    <n v="75152493"/>
    <n v="37369540"/>
    <n v="6050529"/>
    <n v="302853"/>
    <n v="91650"/>
    <n v="-212"/>
  </r>
  <r>
    <x v="3"/>
    <x v="13"/>
    <n v="193806111"/>
    <n v="71954538"/>
    <n v="107502551"/>
    <n v="14349022"/>
    <n v="361417"/>
    <n v="121943"/>
    <n v="-472"/>
  </r>
  <r>
    <x v="3"/>
    <x v="14"/>
    <n v="94359714"/>
    <n v="52935254"/>
    <n v="35719191"/>
    <n v="5705269"/>
    <n v="430976"/>
    <n v="151189"/>
    <n v="-479"/>
  </r>
  <r>
    <x v="3"/>
    <x v="15"/>
    <n v="147998353"/>
    <n v="58712738"/>
    <n v="78419782"/>
    <n v="10865833"/>
    <n v="556171"/>
    <n v="204600"/>
    <n v="-1504"/>
  </r>
  <r>
    <x v="3"/>
    <x v="16"/>
    <n v="134451191"/>
    <n v="64242239"/>
    <n v="63648432"/>
    <n v="6560520"/>
    <n v="388169"/>
    <n v="147678"/>
    <n v="-1041"/>
  </r>
  <r>
    <x v="3"/>
    <x v="17"/>
    <n v="71518788"/>
    <n v="45829736"/>
    <n v="21506116"/>
    <n v="4182936"/>
    <n v="225159"/>
    <n v="91975"/>
    <n v="-248"/>
  </r>
  <r>
    <x v="3"/>
    <x v="18"/>
    <n v="192291682"/>
    <n v="74379751"/>
    <n v="103831744"/>
    <n v="14080187"/>
    <n v="373773"/>
    <n v="144665"/>
    <n v="3"/>
  </r>
  <r>
    <x v="3"/>
    <x v="19"/>
    <n v="127517515"/>
    <n v="65399210"/>
    <n v="57208566"/>
    <n v="4909739"/>
    <n v="375799"/>
    <n v="106362"/>
    <n v="212"/>
  </r>
  <r>
    <x v="3"/>
    <x v="20"/>
    <n v="191528043"/>
    <n v="91648849"/>
    <n v="92102308"/>
    <n v="7776886"/>
    <n v="477812"/>
    <n v="117936"/>
    <n v="-950"/>
  </r>
  <r>
    <x v="3"/>
    <x v="21"/>
    <n v="225955483"/>
    <n v="81739104"/>
    <n v="130172545"/>
    <n v="14043834"/>
    <n v="408376"/>
    <n v="176628"/>
    <n v="491"/>
  </r>
  <r>
    <x v="3"/>
    <x v="22"/>
    <n v="322927844"/>
    <n v="111266706"/>
    <n v="179953430"/>
    <n v="31707708"/>
    <n v="557345"/>
    <n v="256099"/>
    <n v="5654"/>
  </r>
  <r>
    <x v="3"/>
    <x v="23"/>
    <n v="208052956"/>
    <n v="71926631"/>
    <n v="120662352"/>
    <n v="15463973"/>
    <n v="650110"/>
    <n v="244079"/>
    <n v="-1518"/>
  </r>
  <r>
    <x v="3"/>
    <x v="24"/>
    <n v="102160042"/>
    <n v="38033929"/>
    <n v="55794880"/>
    <n v="8331233"/>
    <n v="476942"/>
    <n v="154522"/>
    <n v="8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종로구"/>
    <n v="141759969"/>
    <n v="57821751"/>
    <n v="75771163"/>
    <n v="8167055"/>
    <x v="0"/>
    <n v="50049"/>
    <n v="-11"/>
  </r>
  <r>
    <x v="0"/>
    <s v="중구"/>
    <n v="149856039"/>
    <n v="39190006"/>
    <n v="100938579"/>
    <n v="9727454"/>
    <x v="1"/>
    <n v="53107"/>
    <n v="1947"/>
  </r>
  <r>
    <x v="0"/>
    <s v="용산구"/>
    <n v="87031985"/>
    <n v="43905878"/>
    <n v="32335411"/>
    <n v="10790696"/>
    <x v="2"/>
    <n v="79486"/>
    <n v="3005"/>
  </r>
  <r>
    <x v="0"/>
    <s v="성동구"/>
    <n v="96087425"/>
    <n v="31552270"/>
    <n v="56470250"/>
    <n v="8064905"/>
    <x v="3"/>
    <n v="106435"/>
    <n v="905"/>
  </r>
  <r>
    <x v="0"/>
    <s v="광진구"/>
    <n v="95731490"/>
    <n v="29859594"/>
    <n v="56633974"/>
    <n v="9237922"/>
    <x v="4"/>
    <n v="98658"/>
    <n v="-114"/>
  </r>
  <r>
    <x v="0"/>
    <s v="동대문구"/>
    <n v="97942712"/>
    <n v="57791744"/>
    <n v="31218408"/>
    <n v="8932560"/>
    <x v="5"/>
    <n v="98170"/>
    <n v="352"/>
  </r>
  <r>
    <x v="0"/>
    <s v="중랑구"/>
    <n v="79293944"/>
    <n v="41568031"/>
    <n v="29571182"/>
    <n v="8154731"/>
    <x v="6"/>
    <n v="114237"/>
    <n v="2120"/>
  </r>
  <r>
    <x v="0"/>
    <s v="성북구"/>
    <n v="112791260"/>
    <n v="67929727"/>
    <n v="37822410"/>
    <n v="7039123"/>
    <x v="7"/>
    <n v="120909"/>
    <n v="1727"/>
  </r>
  <r>
    <x v="0"/>
    <s v="강북구"/>
    <n v="88255787"/>
    <n v="54255008"/>
    <n v="28068271"/>
    <n v="5932508"/>
    <x v="8"/>
    <n v="75570"/>
    <n v="-511"/>
  </r>
  <r>
    <x v="0"/>
    <s v="도봉구"/>
    <n v="67739876"/>
    <n v="37019485"/>
    <n v="25198610"/>
    <n v="5521781"/>
    <x v="9"/>
    <n v="95462"/>
    <n v="-389"/>
  </r>
  <r>
    <x v="0"/>
    <s v="노원구"/>
    <n v="108740071"/>
    <n v="46165813"/>
    <n v="52909026"/>
    <n v="9665232"/>
    <x v="10"/>
    <n v="152701"/>
    <n v="533"/>
  </r>
  <r>
    <x v="0"/>
    <s v="은평구"/>
    <n v="110416503"/>
    <n v="57517380"/>
    <n v="45319869"/>
    <n v="7579254"/>
    <x v="11"/>
    <n v="132052"/>
    <n v="2789"/>
  </r>
  <r>
    <x v="0"/>
    <s v="서대문구"/>
    <n v="95958124"/>
    <n v="60695355"/>
    <n v="28742860"/>
    <n v="6519909"/>
    <x v="12"/>
    <n v="89578"/>
    <n v="1541"/>
  </r>
  <r>
    <x v="0"/>
    <s v="마포구"/>
    <n v="148131112"/>
    <n v="56944960"/>
    <n v="78992624"/>
    <n v="12193528"/>
    <x v="13"/>
    <n v="119380"/>
    <n v="1069"/>
  </r>
  <r>
    <x v="0"/>
    <s v="양천구"/>
    <n v="83179122"/>
    <n v="46183700"/>
    <n v="30359568"/>
    <n v="6635854"/>
    <x v="14"/>
    <n v="151626"/>
    <n v="2268"/>
  </r>
  <r>
    <x v="0"/>
    <s v="강서구"/>
    <n v="125896852"/>
    <n v="52107668"/>
    <n v="62794479"/>
    <n v="10994705"/>
    <x v="15"/>
    <n v="204246"/>
    <n v="-97"/>
  </r>
  <r>
    <x v="0"/>
    <s v="구로구"/>
    <n v="123387880"/>
    <n v="60237240"/>
    <n v="56036771"/>
    <n v="7113869"/>
    <x v="16"/>
    <n v="144667"/>
    <n v="906"/>
  </r>
  <r>
    <x v="0"/>
    <s v="금천구"/>
    <n v="66752284"/>
    <n v="42139004"/>
    <n v="19830665"/>
    <n v="4782615"/>
    <x v="17"/>
    <n v="88945"/>
    <n v="1497"/>
  </r>
  <r>
    <x v="0"/>
    <s v="영등포구"/>
    <n v="157499505"/>
    <n v="61964048"/>
    <n v="81402306"/>
    <n v="14133151"/>
    <x v="18"/>
    <n v="146625"/>
    <n v="3861"/>
  </r>
  <r>
    <x v="0"/>
    <s v="동작구"/>
    <n v="109377406"/>
    <n v="58188663"/>
    <n v="45706535"/>
    <n v="5482208"/>
    <x v="19"/>
    <n v="105722"/>
    <n v="653"/>
  </r>
  <r>
    <x v="0"/>
    <s v="관악구"/>
    <n v="166188364"/>
    <n v="81960533"/>
    <n v="75428105"/>
    <n v="8799726"/>
    <x v="20"/>
    <n v="118943"/>
    <n v="-509"/>
  </r>
  <r>
    <x v="0"/>
    <s v="서초구"/>
    <n v="191318304"/>
    <n v="72872287"/>
    <n v="104225039"/>
    <n v="14220978"/>
    <x v="21"/>
    <n v="178778"/>
    <n v="-2235"/>
  </r>
  <r>
    <x v="0"/>
    <s v="강남구"/>
    <n v="263148318"/>
    <n v="93477395"/>
    <n v="139523472"/>
    <n v="30147451"/>
    <x v="22"/>
    <n v="235796"/>
    <n v="602"/>
  </r>
  <r>
    <x v="0"/>
    <s v="송파구"/>
    <n v="166423657"/>
    <n v="60517668"/>
    <n v="89719740"/>
    <n v="16186249"/>
    <x v="23"/>
    <n v="245565"/>
    <n v="4591"/>
  </r>
  <r>
    <x v="0"/>
    <s v="강동구"/>
    <n v="87515237"/>
    <n v="32292610"/>
    <n v="45671791"/>
    <n v="9550836"/>
    <x v="24"/>
    <n v="152003"/>
    <n v="6877"/>
  </r>
  <r>
    <x v="1"/>
    <s v="종로구"/>
    <n v="164935619"/>
    <n v="67454849"/>
    <n v="89319867"/>
    <n v="8160903"/>
    <x v="25"/>
    <n v="50832"/>
    <n v="783"/>
  </r>
  <r>
    <x v="1"/>
    <s v="중구"/>
    <n v="176154824"/>
    <n v="45724150"/>
    <n v="120765784"/>
    <n v="9664890"/>
    <x v="26"/>
    <n v="60081"/>
    <n v="6974"/>
  </r>
  <r>
    <x v="1"/>
    <s v="용산구"/>
    <n v="100875869"/>
    <n v="50537978"/>
    <n v="39369572"/>
    <n v="10968319"/>
    <x v="27"/>
    <n v="79420"/>
    <n v="-66"/>
  </r>
  <r>
    <x v="1"/>
    <s v="성동구"/>
    <n v="106165626"/>
    <n v="34157923"/>
    <n v="64269063"/>
    <n v="7738640"/>
    <x v="28"/>
    <n v="106035"/>
    <n v="-400"/>
  </r>
  <r>
    <x v="1"/>
    <s v="광진구"/>
    <n v="107246102"/>
    <n v="33234902"/>
    <n v="64860255"/>
    <n v="9150945"/>
    <x v="29"/>
    <n v="99126"/>
    <n v="468"/>
  </r>
  <r>
    <x v="1"/>
    <s v="동대문구"/>
    <n v="106610793"/>
    <n v="63284045"/>
    <n v="34854710"/>
    <n v="8472038"/>
    <x v="30"/>
    <n v="98574"/>
    <n v="404"/>
  </r>
  <r>
    <x v="1"/>
    <s v="중랑구"/>
    <n v="85919590"/>
    <n v="46033124"/>
    <n v="31943438"/>
    <n v="7943028"/>
    <x v="31"/>
    <n v="114961"/>
    <n v="724"/>
  </r>
  <r>
    <x v="1"/>
    <s v="성북구"/>
    <n v="126169567"/>
    <n v="76331592"/>
    <n v="43239120"/>
    <n v="6598855"/>
    <x v="32"/>
    <n v="122016"/>
    <n v="1107"/>
  </r>
  <r>
    <x v="1"/>
    <s v="강북구"/>
    <n v="94283492"/>
    <n v="57994006"/>
    <n v="30445153"/>
    <n v="5844333"/>
    <x v="33"/>
    <n v="75148"/>
    <n v="-422"/>
  </r>
  <r>
    <x v="1"/>
    <s v="도봉구"/>
    <n v="71242195"/>
    <n v="38900295"/>
    <n v="26987249"/>
    <n v="5354651"/>
    <x v="34"/>
    <n v="95573"/>
    <n v="111"/>
  </r>
  <r>
    <x v="1"/>
    <s v="노원구"/>
    <n v="117486557"/>
    <n v="50579231"/>
    <n v="57264326"/>
    <n v="9643000"/>
    <x v="35"/>
    <n v="152305"/>
    <n v="-396"/>
  </r>
  <r>
    <x v="1"/>
    <s v="은평구"/>
    <n v="117881189"/>
    <n v="61790167"/>
    <n v="48938669"/>
    <n v="7152353"/>
    <x v="36"/>
    <n v="133291"/>
    <n v="1239"/>
  </r>
  <r>
    <x v="1"/>
    <s v="서대문구"/>
    <n v="107163842"/>
    <n v="68059904"/>
    <n v="32850877"/>
    <n v="6253061"/>
    <x v="37"/>
    <n v="89435"/>
    <n v="-143"/>
  </r>
  <r>
    <x v="1"/>
    <s v="마포구"/>
    <n v="169324041"/>
    <n v="64510577"/>
    <n v="91948749"/>
    <n v="12864715"/>
    <x v="38"/>
    <n v="121250"/>
    <n v="1870"/>
  </r>
  <r>
    <x v="1"/>
    <s v="양천구"/>
    <n v="89458448"/>
    <n v="49938837"/>
    <n v="33236941"/>
    <n v="6282670"/>
    <x v="39"/>
    <n v="151251"/>
    <n v="-375"/>
  </r>
  <r>
    <x v="1"/>
    <s v="강서구"/>
    <n v="136615826"/>
    <n v="55871596"/>
    <n v="69470943"/>
    <n v="11273287"/>
    <x v="40"/>
    <n v="206352"/>
    <n v="2106"/>
  </r>
  <r>
    <x v="1"/>
    <s v="구로구"/>
    <n v="127504110"/>
    <n v="61042525"/>
    <n v="59580422"/>
    <n v="6881163"/>
    <x v="41"/>
    <n v="146040"/>
    <n v="1373"/>
  </r>
  <r>
    <x v="1"/>
    <s v="금천구"/>
    <n v="70056965"/>
    <n v="45064854"/>
    <n v="20465940"/>
    <n v="4526171"/>
    <x v="42"/>
    <n v="90508"/>
    <n v="1563"/>
  </r>
  <r>
    <x v="1"/>
    <s v="영등포구"/>
    <n v="174830984"/>
    <n v="69289958"/>
    <n v="91890433"/>
    <n v="13650593"/>
    <x v="43"/>
    <n v="145946"/>
    <n v="-679"/>
  </r>
  <r>
    <x v="1"/>
    <s v="동작구"/>
    <n v="119187672"/>
    <n v="62588194"/>
    <n v="51528199"/>
    <n v="5071279"/>
    <x v="44"/>
    <n v="106263"/>
    <n v="541"/>
  </r>
  <r>
    <x v="1"/>
    <s v="관악구"/>
    <n v="183319578"/>
    <n v="90076319"/>
    <n v="84916033"/>
    <n v="8327226"/>
    <x v="45"/>
    <n v="118148"/>
    <n v="-795"/>
  </r>
  <r>
    <x v="1"/>
    <s v="서초구"/>
    <n v="209014453"/>
    <n v="78195534"/>
    <n v="117324071"/>
    <n v="13494848"/>
    <x v="46"/>
    <n v="176639"/>
    <n v="-2139"/>
  </r>
  <r>
    <x v="1"/>
    <s v="강남구"/>
    <n v="293965811"/>
    <n v="103379977"/>
    <n v="161272441"/>
    <n v="29313393"/>
    <x v="47"/>
    <n v="240480"/>
    <n v="4684"/>
  </r>
  <r>
    <x v="1"/>
    <s v="송파구"/>
    <n v="187955776"/>
    <n v="67415209"/>
    <n v="104523594"/>
    <n v="16016973"/>
    <x v="48"/>
    <n v="248750"/>
    <n v="3185"/>
  </r>
  <r>
    <x v="1"/>
    <s v="강동구"/>
    <n v="93924693"/>
    <n v="35194304"/>
    <n v="49416957"/>
    <n v="9313432"/>
    <x v="49"/>
    <n v="151875"/>
    <n v="-128"/>
  </r>
  <r>
    <x v="2"/>
    <s v="종로구"/>
    <n v="178567702"/>
    <n v="70681425"/>
    <n v="100748476"/>
    <n v="7137801"/>
    <x v="50"/>
    <n v="51000"/>
    <n v="168"/>
  </r>
  <r>
    <x v="2"/>
    <s v="중구"/>
    <n v="202324327"/>
    <n v="48721660"/>
    <n v="144615589"/>
    <n v="8987078"/>
    <x v="51"/>
    <n v="57666"/>
    <n v="-2415"/>
  </r>
  <r>
    <x v="2"/>
    <s v="용산구"/>
    <n v="107760931"/>
    <n v="54008803"/>
    <n v="44222766"/>
    <n v="9529362"/>
    <x v="52"/>
    <n v="75436"/>
    <n v="-3984"/>
  </r>
  <r>
    <x v="2"/>
    <s v="성동구"/>
    <n v="111717923"/>
    <n v="35237767"/>
    <n v="70179191"/>
    <n v="6300965"/>
    <x v="53"/>
    <n v="104782"/>
    <n v="-1253"/>
  </r>
  <r>
    <x v="2"/>
    <s v="광진구"/>
    <n v="111528164"/>
    <n v="34809718"/>
    <n v="69506034"/>
    <n v="7212412"/>
    <x v="54"/>
    <n v="97936"/>
    <n v="-1190"/>
  </r>
  <r>
    <x v="2"/>
    <s v="동대문구"/>
    <n v="111611079"/>
    <n v="67437050"/>
    <n v="37821239"/>
    <n v="6352790"/>
    <x v="55"/>
    <n v="99947"/>
    <n v="1373"/>
  </r>
  <r>
    <x v="2"/>
    <s v="중랑구"/>
    <n v="88060625"/>
    <n v="48356010"/>
    <n v="33835684"/>
    <n v="5868931"/>
    <x v="56"/>
    <n v="116523"/>
    <n v="1562"/>
  </r>
  <r>
    <x v="2"/>
    <s v="성북구"/>
    <n v="131105290"/>
    <n v="79361062"/>
    <n v="46809536"/>
    <n v="4934692"/>
    <x v="57"/>
    <n v="122811"/>
    <n v="795"/>
  </r>
  <r>
    <x v="2"/>
    <s v="강북구"/>
    <n v="95421485"/>
    <n v="59000850"/>
    <n v="32266378"/>
    <n v="4154257"/>
    <x v="58"/>
    <n v="75166"/>
    <n v="18"/>
  </r>
  <r>
    <x v="2"/>
    <s v="도봉구"/>
    <n v="71661572"/>
    <n v="39783107"/>
    <n v="28321911"/>
    <n v="3556554"/>
    <x v="59"/>
    <n v="95623"/>
    <n v="50"/>
  </r>
  <r>
    <x v="2"/>
    <s v="노원구"/>
    <n v="119823856"/>
    <n v="51726460"/>
    <n v="61347921"/>
    <n v="6749475"/>
    <x v="60"/>
    <n v="152633"/>
    <n v="328"/>
  </r>
  <r>
    <x v="2"/>
    <s v="은평구"/>
    <n v="120374400"/>
    <n v="63338467"/>
    <n v="51822570"/>
    <n v="5213363"/>
    <x v="61"/>
    <n v="133469"/>
    <n v="178"/>
  </r>
  <r>
    <x v="2"/>
    <s v="서대문구"/>
    <n v="113855153"/>
    <n v="72292718"/>
    <n v="36582300"/>
    <n v="4980135"/>
    <x v="62"/>
    <n v="91862"/>
    <n v="2427"/>
  </r>
  <r>
    <x v="2"/>
    <s v="마포구"/>
    <n v="182982275"/>
    <n v="68374401"/>
    <n v="103281308"/>
    <n v="11326566"/>
    <x v="63"/>
    <n v="122415"/>
    <n v="1165"/>
  </r>
  <r>
    <x v="2"/>
    <s v="양천구"/>
    <n v="91670267"/>
    <n v="51701808"/>
    <n v="35246960"/>
    <n v="4721499"/>
    <x v="64"/>
    <n v="151668"/>
    <n v="417"/>
  </r>
  <r>
    <x v="2"/>
    <s v="강서구"/>
    <n v="141725103"/>
    <n v="57398643"/>
    <n v="75470439"/>
    <n v="8856021"/>
    <x v="65"/>
    <n v="206104"/>
    <n v="-248"/>
  </r>
  <r>
    <x v="2"/>
    <s v="구로구"/>
    <n v="131422494"/>
    <n v="62850315"/>
    <n v="63065182"/>
    <n v="5506997"/>
    <x v="66"/>
    <n v="148719"/>
    <n v="2679"/>
  </r>
  <r>
    <x v="2"/>
    <s v="금천구"/>
    <n v="71105776"/>
    <n v="46171676"/>
    <n v="21372019"/>
    <n v="3562081"/>
    <x v="67"/>
    <n v="92223"/>
    <n v="1715"/>
  </r>
  <r>
    <x v="2"/>
    <s v="영등포구"/>
    <n v="184031098"/>
    <n v="72387873"/>
    <n v="100244057"/>
    <n v="11399168"/>
    <x v="68"/>
    <n v="144662"/>
    <n v="-1284"/>
  </r>
  <r>
    <x v="2"/>
    <s v="동작구"/>
    <n v="122261047"/>
    <n v="62446828"/>
    <n v="55771179"/>
    <n v="4043040"/>
    <x v="69"/>
    <n v="106150"/>
    <n v="-113"/>
  </r>
  <r>
    <x v="2"/>
    <s v="관악구"/>
    <n v="186640714"/>
    <n v="89284855"/>
    <n v="90767121"/>
    <n v="6588738"/>
    <x v="70"/>
    <n v="118886"/>
    <n v="738"/>
  </r>
  <r>
    <x v="2"/>
    <s v="서초구"/>
    <n v="217494174"/>
    <n v="78646999"/>
    <n v="127350104"/>
    <n v="11497071"/>
    <x v="71"/>
    <n v="176137"/>
    <n v="-502"/>
  </r>
  <r>
    <x v="2"/>
    <s v="강남구"/>
    <n v="306070238"/>
    <n v="104997484"/>
    <n v="175606259"/>
    <n v="25466495"/>
    <x v="72"/>
    <n v="250445"/>
    <n v="9965"/>
  </r>
  <r>
    <x v="2"/>
    <s v="송파구"/>
    <n v="197679387"/>
    <n v="69881907"/>
    <n v="115250643"/>
    <n v="12546837"/>
    <x v="73"/>
    <n v="245597"/>
    <n v="-3153"/>
  </r>
  <r>
    <x v="2"/>
    <s v="강동구"/>
    <n v="94011660"/>
    <n v="35282772"/>
    <n v="51997375"/>
    <n v="6731513"/>
    <x v="74"/>
    <n v="153678"/>
    <n v="1803"/>
  </r>
  <r>
    <x v="3"/>
    <s v="종로구"/>
    <n v="186553232"/>
    <n v="74208386"/>
    <n v="103323781"/>
    <n v="9021065"/>
    <x v="75"/>
    <n v="50482"/>
    <n v="-518"/>
  </r>
  <r>
    <x v="3"/>
    <s v="중구"/>
    <n v="216622466"/>
    <n v="52435264"/>
    <n v="152294765"/>
    <n v="11892437"/>
    <x v="76"/>
    <n v="54332"/>
    <n v="-3334"/>
  </r>
  <r>
    <x v="3"/>
    <s v="용산구"/>
    <n v="115155774"/>
    <n v="56796253"/>
    <n v="45863450"/>
    <n v="12496071"/>
    <x v="77"/>
    <n v="74001"/>
    <n v="-1435"/>
  </r>
  <r>
    <x v="3"/>
    <s v="성동구"/>
    <n v="118721700"/>
    <n v="37079391"/>
    <n v="73862010"/>
    <n v="7780299"/>
    <x v="78"/>
    <n v="104641"/>
    <n v="-141"/>
  </r>
  <r>
    <x v="3"/>
    <s v="광진구"/>
    <n v="115686552"/>
    <n v="36851896"/>
    <n v="70329994"/>
    <n v="8504662"/>
    <x v="79"/>
    <n v="97218"/>
    <n v="-718"/>
  </r>
  <r>
    <x v="3"/>
    <s v="동대문구"/>
    <n v="117287598"/>
    <n v="70686857"/>
    <n v="39182683"/>
    <n v="7418058"/>
    <x v="80"/>
    <n v="102749"/>
    <n v="2802"/>
  </r>
  <r>
    <x v="3"/>
    <s v="중랑구"/>
    <n v="90693667"/>
    <n v="49857596"/>
    <n v="34271820"/>
    <n v="6564251"/>
    <x v="81"/>
    <n v="116575"/>
    <n v="52"/>
  </r>
  <r>
    <x v="3"/>
    <s v="성북구"/>
    <n v="135254268"/>
    <n v="81559692"/>
    <n v="47802034"/>
    <n v="5892542"/>
    <x v="82"/>
    <n v="122135"/>
    <n v="-676"/>
  </r>
  <r>
    <x v="3"/>
    <s v="강북구"/>
    <n v="97599102"/>
    <n v="60149464"/>
    <n v="32634332"/>
    <n v="4815306"/>
    <x v="83"/>
    <n v="74169"/>
    <n v="-997"/>
  </r>
  <r>
    <x v="3"/>
    <s v="도봉구"/>
    <n v="74280229"/>
    <n v="40702065"/>
    <n v="29260920"/>
    <n v="4317244"/>
    <x v="84"/>
    <n v="94946"/>
    <n v="-677"/>
  </r>
  <r>
    <x v="3"/>
    <s v="노원구"/>
    <n v="127177261"/>
    <n v="53541282"/>
    <n v="65760380"/>
    <n v="7875599"/>
    <x v="85"/>
    <n v="152155"/>
    <n v="-478"/>
  </r>
  <r>
    <x v="3"/>
    <s v="은평구"/>
    <n v="124945537"/>
    <n v="65746264"/>
    <n v="52739892"/>
    <n v="6459381"/>
    <x v="86"/>
    <n v="135047"/>
    <n v="1578"/>
  </r>
  <r>
    <x v="3"/>
    <s v="서대문구"/>
    <n v="118572562"/>
    <n v="75152493"/>
    <n v="37369540"/>
    <n v="6050529"/>
    <x v="87"/>
    <n v="91650"/>
    <n v="-212"/>
  </r>
  <r>
    <x v="3"/>
    <s v="마포구"/>
    <n v="193806111"/>
    <n v="71954538"/>
    <n v="107502551"/>
    <n v="14349022"/>
    <x v="88"/>
    <n v="121943"/>
    <n v="-472"/>
  </r>
  <r>
    <x v="3"/>
    <s v="양천구"/>
    <n v="94359714"/>
    <n v="52935254"/>
    <n v="35719191"/>
    <n v="5705269"/>
    <x v="89"/>
    <n v="151189"/>
    <n v="-479"/>
  </r>
  <r>
    <x v="3"/>
    <s v="강서구"/>
    <n v="147998353"/>
    <n v="58712738"/>
    <n v="78419782"/>
    <n v="10865833"/>
    <x v="90"/>
    <n v="204600"/>
    <n v="-1504"/>
  </r>
  <r>
    <x v="3"/>
    <s v="구로구"/>
    <n v="134451191"/>
    <n v="64242239"/>
    <n v="63648432"/>
    <n v="6560520"/>
    <x v="91"/>
    <n v="147678"/>
    <n v="-1041"/>
  </r>
  <r>
    <x v="3"/>
    <s v="금천구"/>
    <n v="71518788"/>
    <n v="45829736"/>
    <n v="21506116"/>
    <n v="4182936"/>
    <x v="92"/>
    <n v="91975"/>
    <n v="-248"/>
  </r>
  <r>
    <x v="3"/>
    <s v="영등포구"/>
    <n v="192291682"/>
    <n v="74379751"/>
    <n v="103831744"/>
    <n v="14080187"/>
    <x v="93"/>
    <n v="144665"/>
    <n v="3"/>
  </r>
  <r>
    <x v="3"/>
    <s v="동작구"/>
    <n v="127517515"/>
    <n v="65399210"/>
    <n v="57208566"/>
    <n v="4909739"/>
    <x v="94"/>
    <n v="106362"/>
    <n v="212"/>
  </r>
  <r>
    <x v="3"/>
    <s v="관악구"/>
    <n v="191528043"/>
    <n v="91648849"/>
    <n v="92102308"/>
    <n v="7776886"/>
    <x v="95"/>
    <n v="117936"/>
    <n v="-950"/>
  </r>
  <r>
    <x v="3"/>
    <s v="서초구"/>
    <n v="225955483"/>
    <n v="81739104"/>
    <n v="130172545"/>
    <n v="14043834"/>
    <x v="96"/>
    <n v="176628"/>
    <n v="491"/>
  </r>
  <r>
    <x v="3"/>
    <s v="강남구"/>
    <n v="322927844"/>
    <n v="111266706"/>
    <n v="179953430"/>
    <n v="31707708"/>
    <x v="97"/>
    <n v="256099"/>
    <n v="5654"/>
  </r>
  <r>
    <x v="3"/>
    <s v="송파구"/>
    <n v="208052956"/>
    <n v="71926631"/>
    <n v="120662352"/>
    <n v="15463973"/>
    <x v="98"/>
    <n v="244079"/>
    <n v="-1518"/>
  </r>
  <r>
    <x v="3"/>
    <s v="강동구"/>
    <n v="102160042"/>
    <n v="38033929"/>
    <n v="55794880"/>
    <n v="8331233"/>
    <x v="99"/>
    <n v="154522"/>
    <n v="8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52DE6-5B28-4E43-BCAF-FCFB4F1CD772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K3:O8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101">
        <item x="4"/>
        <item x="3"/>
        <item x="24"/>
        <item x="29"/>
        <item x="28"/>
        <item x="54"/>
        <item x="49"/>
        <item x="53"/>
        <item x="74"/>
        <item x="79"/>
        <item x="9"/>
        <item x="78"/>
        <item x="99"/>
        <item x="34"/>
        <item x="1"/>
        <item x="59"/>
        <item x="84"/>
        <item x="6"/>
        <item x="17"/>
        <item x="2"/>
        <item x="42"/>
        <item x="26"/>
        <item x="92"/>
        <item x="31"/>
        <item x="10"/>
        <item x="67"/>
        <item x="14"/>
        <item x="56"/>
        <item x="51"/>
        <item x="81"/>
        <item x="39"/>
        <item x="27"/>
        <item x="35"/>
        <item x="64"/>
        <item x="60"/>
        <item x="15"/>
        <item x="76"/>
        <item x="89"/>
        <item x="85"/>
        <item x="52"/>
        <item x="8"/>
        <item x="40"/>
        <item x="77"/>
        <item x="13"/>
        <item x="65"/>
        <item x="11"/>
        <item x="5"/>
        <item x="0"/>
        <item x="33"/>
        <item x="19"/>
        <item x="90"/>
        <item x="58"/>
        <item x="83"/>
        <item x="16"/>
        <item x="23"/>
        <item x="12"/>
        <item x="41"/>
        <item x="36"/>
        <item x="18"/>
        <item x="69"/>
        <item x="44"/>
        <item x="66"/>
        <item x="30"/>
        <item x="61"/>
        <item x="91"/>
        <item x="38"/>
        <item x="94"/>
        <item x="86"/>
        <item x="48"/>
        <item x="55"/>
        <item x="25"/>
        <item x="7"/>
        <item x="37"/>
        <item x="63"/>
        <item x="43"/>
        <item x="73"/>
        <item x="50"/>
        <item x="80"/>
        <item x="98"/>
        <item x="88"/>
        <item x="62"/>
        <item x="68"/>
        <item x="21"/>
        <item x="75"/>
        <item x="93"/>
        <item x="87"/>
        <item x="32"/>
        <item x="46"/>
        <item x="71"/>
        <item x="57"/>
        <item x="82"/>
        <item x="96"/>
        <item x="20"/>
        <item x="70"/>
        <item x="45"/>
        <item x="95"/>
        <item x="22"/>
        <item x="47"/>
        <item x="72"/>
        <item x="97"/>
        <item t="default"/>
      </items>
    </pivotField>
    <pivotField dataField="1" showAll="0">
      <items count="101">
        <item x="17"/>
        <item x="42"/>
        <item x="67"/>
        <item x="92"/>
        <item x="9"/>
        <item x="34"/>
        <item x="8"/>
        <item x="59"/>
        <item x="12"/>
        <item x="84"/>
        <item x="6"/>
        <item x="14"/>
        <item x="33"/>
        <item x="5"/>
        <item x="31"/>
        <item x="58"/>
        <item x="2"/>
        <item x="83"/>
        <item x="37"/>
        <item x="39"/>
        <item x="56"/>
        <item x="81"/>
        <item x="30"/>
        <item x="64"/>
        <item x="89"/>
        <item x="62"/>
        <item x="87"/>
        <item x="55"/>
        <item x="7"/>
        <item x="80"/>
        <item x="27"/>
        <item x="32"/>
        <item x="52"/>
        <item x="11"/>
        <item x="24"/>
        <item x="19"/>
        <item x="77"/>
        <item x="57"/>
        <item x="82"/>
        <item x="36"/>
        <item x="49"/>
        <item x="44"/>
        <item x="61"/>
        <item x="74"/>
        <item x="86"/>
        <item x="10"/>
        <item x="69"/>
        <item x="99"/>
        <item x="16"/>
        <item x="3"/>
        <item x="4"/>
        <item x="94"/>
        <item x="35"/>
        <item x="41"/>
        <item x="60"/>
        <item x="15"/>
        <item x="66"/>
        <item x="91"/>
        <item x="28"/>
        <item x="29"/>
        <item x="85"/>
        <item x="40"/>
        <item x="54"/>
        <item x="53"/>
        <item x="79"/>
        <item x="78"/>
        <item x="20"/>
        <item x="65"/>
        <item x="0"/>
        <item x="90"/>
        <item x="13"/>
        <item x="18"/>
        <item x="45"/>
        <item x="25"/>
        <item x="23"/>
        <item x="70"/>
        <item x="43"/>
        <item x="38"/>
        <item x="95"/>
        <item x="68"/>
        <item x="50"/>
        <item x="1"/>
        <item x="63"/>
        <item x="75"/>
        <item x="93"/>
        <item x="21"/>
        <item x="48"/>
        <item x="88"/>
        <item x="73"/>
        <item x="46"/>
        <item x="98"/>
        <item x="26"/>
        <item x="71"/>
        <item x="96"/>
        <item x="22"/>
        <item x="51"/>
        <item x="76"/>
        <item x="47"/>
        <item x="72"/>
        <item x="97"/>
        <item t="default"/>
      </items>
    </pivotField>
    <pivotField dataField="1" showAll="0"/>
    <pivotField numFmtId="3"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자동차_등록대수" fld="7" baseField="0" baseItem="0"/>
    <dataField name="합계 : 버스" fld="3" baseField="0" baseItem="0"/>
    <dataField name="합계 : 지하철" fld="4" baseField="0" baseItem="0"/>
    <dataField name="합계 : 택시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3D8E0-A5EF-4ADE-8BDB-FEEB9E2DFB17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3">
  <location ref="K3:N29" firstHeaderRow="0" firstDataRow="1" firstDataCol="1"/>
  <pivotFields count="9">
    <pivotField showAll="0">
      <items count="5">
        <item x="0"/>
        <item x="1"/>
        <item x="2"/>
        <item x="3"/>
        <item t="default"/>
      </items>
    </pivotField>
    <pivotField axis="axisRow" multipleItemSelectionAllowed="1" showAll="0">
      <items count="26">
        <item x="22"/>
        <item x="24"/>
        <item x="8"/>
        <item x="15"/>
        <item x="20"/>
        <item x="4"/>
        <item x="16"/>
        <item x="17"/>
        <item x="10"/>
        <item x="9"/>
        <item x="5"/>
        <item x="19"/>
        <item x="13"/>
        <item x="12"/>
        <item x="21"/>
        <item x="3"/>
        <item x="7"/>
        <item x="23"/>
        <item x="14"/>
        <item x="18"/>
        <item x="2"/>
        <item x="11"/>
        <item x="0"/>
        <item x="1"/>
        <item x="6"/>
        <item t="default"/>
      </items>
    </pivotField>
    <pivotField showAll="0"/>
    <pivotField dataField="1" showAll="0"/>
    <pivotField dataField="1" showAll="0"/>
    <pivotField dataField="1" showAll="0"/>
    <pivotField numFmtId="3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버스" fld="3" baseField="0" baseItem="0"/>
    <dataField name="합계 : 지하철" fld="4" baseField="0" baseItem="0"/>
    <dataField name="합계 : 택시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4BBDE-9577-4838-8DE2-E7EFD0614BBF}" name="피벗 테이블4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31">
  <location ref="K67:P94" firstHeaderRow="1" firstDataRow="2" firstDataCol="1"/>
  <pivotFields count="9">
    <pivotField axis="axisCol" showAll="0">
      <items count="5">
        <item x="0"/>
        <item x="1"/>
        <item x="2"/>
        <item x="3"/>
        <item t="default"/>
      </items>
    </pivotField>
    <pivotField axis="axisRow" multipleItemSelectionAllowed="1" showAll="0">
      <items count="26">
        <item x="22"/>
        <item x="24"/>
        <item x="8"/>
        <item x="15"/>
        <item x="20"/>
        <item x="4"/>
        <item x="16"/>
        <item x="17"/>
        <item x="10"/>
        <item x="9"/>
        <item x="5"/>
        <item x="19"/>
        <item x="13"/>
        <item x="12"/>
        <item x="21"/>
        <item x="3"/>
        <item x="7"/>
        <item x="23"/>
        <item x="14"/>
        <item x="18"/>
        <item x="2"/>
        <item x="11"/>
        <item x="0"/>
        <item x="1"/>
        <item x="6"/>
        <item t="default"/>
      </items>
    </pivotField>
    <pivotField showAll="0"/>
    <pivotField showAll="0"/>
    <pivotField showAll="0"/>
    <pivotField dataField="1" showAll="0"/>
    <pivotField numFmtId="3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택시" fld="5" baseField="0" baseItem="0"/>
  </dataFields>
  <chartFormats count="18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7D02A-CEAA-48B6-A673-178D975E9D60}" name="피벗 테이블3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6">
  <location ref="K35:P62" firstHeaderRow="1" firstDataRow="2" firstDataCol="1"/>
  <pivotFields count="9">
    <pivotField axis="axisCol" showAll="0">
      <items count="5">
        <item x="0"/>
        <item x="1"/>
        <item x="2"/>
        <item x="3"/>
        <item t="default"/>
      </items>
    </pivotField>
    <pivotField axis="axisRow" multipleItemSelectionAllowed="1" showAll="0">
      <items count="26">
        <item x="22"/>
        <item x="24"/>
        <item x="8"/>
        <item x="15"/>
        <item x="20"/>
        <item x="4"/>
        <item x="16"/>
        <item x="17"/>
        <item x="10"/>
        <item x="9"/>
        <item x="5"/>
        <item x="19"/>
        <item x="13"/>
        <item x="12"/>
        <item x="21"/>
        <item x="3"/>
        <item x="7"/>
        <item x="23"/>
        <item x="14"/>
        <item x="18"/>
        <item x="2"/>
        <item x="11"/>
        <item x="0"/>
        <item x="1"/>
        <item x="6"/>
        <item t="default"/>
      </items>
    </pivotField>
    <pivotField showAll="0"/>
    <pivotField showAll="0"/>
    <pivotField dataField="1" showAll="0"/>
    <pivotField showAll="0"/>
    <pivotField numFmtId="3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지하철" fld="4" baseField="0" baseItem="0"/>
  </dataFields>
  <chartFormats count="18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280D4-6623-4D8F-9133-4CACDF09D931}" name="피벗 테이블2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5">
  <location ref="K2:P29" firstHeaderRow="1" firstDataRow="2" firstDataCol="1"/>
  <pivotFields count="9">
    <pivotField axis="axisCol" showAll="0">
      <items count="5">
        <item x="0"/>
        <item x="1"/>
        <item x="2"/>
        <item x="3"/>
        <item t="default"/>
      </items>
    </pivotField>
    <pivotField axis="axisRow" multipleItemSelectionAllowed="1" showAll="0">
      <items count="26">
        <item x="22"/>
        <item x="24"/>
        <item x="8"/>
        <item x="15"/>
        <item x="20"/>
        <item x="4"/>
        <item x="16"/>
        <item x="17"/>
        <item x="10"/>
        <item x="9"/>
        <item x="5"/>
        <item x="19"/>
        <item x="13"/>
        <item x="12"/>
        <item x="21"/>
        <item x="3"/>
        <item x="7"/>
        <item x="23"/>
        <item x="14"/>
        <item x="18"/>
        <item x="2"/>
        <item x="11"/>
        <item x="0"/>
        <item x="1"/>
        <item x="6"/>
        <item t="default"/>
      </items>
    </pivotField>
    <pivotField showAll="0"/>
    <pivotField dataField="1" showAll="0"/>
    <pivotField showAll="0"/>
    <pivotField showAll="0"/>
    <pivotField numFmtId="3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버스" fld="3" baseField="0" baseItem="0"/>
  </dataFields>
  <chartFormats count="10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A0F4D-E002-47A4-B5D4-ADBBBD218AEF}" name="피벗 테이블10" cacheId="1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K2:M7" firstHeaderRow="0" firstDataRow="1" firstDataCol="1"/>
  <pivotFields count="9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3" showAll="0">
      <items count="101">
        <item x="26"/>
        <item x="76"/>
        <item x="51"/>
        <item x="1"/>
        <item x="75"/>
        <item x="50"/>
        <item x="25"/>
        <item x="0"/>
        <item x="77"/>
        <item x="52"/>
        <item x="27"/>
        <item x="2"/>
        <item x="92"/>
        <item x="67"/>
        <item x="42"/>
        <item x="17"/>
        <item x="78"/>
        <item x="53"/>
        <item x="28"/>
        <item x="83"/>
        <item x="3"/>
        <item x="58"/>
        <item x="33"/>
        <item x="8"/>
        <item x="87"/>
        <item x="84"/>
        <item x="12"/>
        <item x="62"/>
        <item x="37"/>
        <item x="59"/>
        <item x="34"/>
        <item x="9"/>
        <item x="79"/>
        <item x="54"/>
        <item x="30"/>
        <item x="5"/>
        <item x="29"/>
        <item x="80"/>
        <item x="4"/>
        <item x="55"/>
        <item x="88"/>
        <item x="63"/>
        <item x="38"/>
        <item x="13"/>
        <item x="93"/>
        <item x="68"/>
        <item x="43"/>
        <item x="94"/>
        <item x="18"/>
        <item x="69"/>
        <item x="81"/>
        <item x="44"/>
        <item x="56"/>
        <item x="31"/>
        <item x="19"/>
        <item x="6"/>
        <item x="91"/>
        <item x="66"/>
        <item x="41"/>
        <item x="16"/>
        <item x="46"/>
        <item x="71"/>
        <item x="96"/>
        <item x="21"/>
        <item x="82"/>
        <item x="57"/>
        <item x="32"/>
        <item x="7"/>
        <item x="89"/>
        <item x="64"/>
        <item x="39"/>
        <item x="14"/>
        <item x="74"/>
        <item x="49"/>
        <item x="86"/>
        <item x="24"/>
        <item x="36"/>
        <item x="61"/>
        <item x="11"/>
        <item x="99"/>
        <item x="95"/>
        <item x="70"/>
        <item x="20"/>
        <item x="45"/>
        <item x="85"/>
        <item x="60"/>
        <item x="35"/>
        <item x="10"/>
        <item x="47"/>
        <item x="22"/>
        <item x="72"/>
        <item x="90"/>
        <item x="97"/>
        <item x="65"/>
        <item x="40"/>
        <item x="15"/>
        <item x="98"/>
        <item x="73"/>
        <item x="23"/>
        <item x="4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인구수" fld="6" baseField="0" baseItem="0" numFmtId="3"/>
    <dataField name="합계 : 자동차_등록대수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2F89-5E41-42E3-861E-203A29417C42}">
  <dimension ref="A1:I101"/>
  <sheetViews>
    <sheetView tabSelected="1" workbookViewId="0">
      <selection activeCell="N7" sqref="N7"/>
    </sheetView>
  </sheetViews>
  <sheetFormatPr defaultRowHeight="17.399999999999999" x14ac:dyDescent="0.4"/>
  <cols>
    <col min="3" max="3" width="10.3984375" bestFit="1" customWidth="1"/>
    <col min="5" max="5" width="10.3984375" bestFit="1" customWidth="1"/>
    <col min="6" max="6" width="9.3984375" bestFit="1" customWidth="1"/>
    <col min="8" max="8" width="15.19921875" bestFit="1" customWidth="1"/>
    <col min="9" max="9" width="19.796875" bestFit="1" customWidth="1"/>
  </cols>
  <sheetData>
    <row r="1" spans="1: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</row>
    <row r="2" spans="1:9" x14ac:dyDescent="0.4">
      <c r="A2" s="2">
        <v>2021</v>
      </c>
      <c r="B2" s="2" t="s">
        <v>8</v>
      </c>
      <c r="C2" s="2">
        <v>141759969</v>
      </c>
      <c r="D2" s="2">
        <v>57821751</v>
      </c>
      <c r="E2" s="2">
        <v>75771163</v>
      </c>
      <c r="F2" s="2">
        <v>8167055</v>
      </c>
      <c r="G2" s="1">
        <v>144683</v>
      </c>
      <c r="H2" s="2">
        <v>50049</v>
      </c>
      <c r="I2" s="2">
        <v>-11</v>
      </c>
    </row>
    <row r="3" spans="1:9" x14ac:dyDescent="0.4">
      <c r="A3" s="2">
        <v>2021</v>
      </c>
      <c r="B3" s="2" t="s">
        <v>9</v>
      </c>
      <c r="C3" s="2">
        <v>149856039</v>
      </c>
      <c r="D3" s="2">
        <v>39190006</v>
      </c>
      <c r="E3" s="2">
        <v>100938579</v>
      </c>
      <c r="F3" s="2">
        <v>9727454</v>
      </c>
      <c r="G3" s="1">
        <v>122499</v>
      </c>
      <c r="H3" s="2">
        <v>53107</v>
      </c>
      <c r="I3" s="2">
        <v>1947</v>
      </c>
    </row>
    <row r="4" spans="1:9" x14ac:dyDescent="0.4">
      <c r="A4" s="2">
        <v>2021</v>
      </c>
      <c r="B4" s="2" t="s">
        <v>10</v>
      </c>
      <c r="C4" s="2">
        <v>87031985</v>
      </c>
      <c r="D4" s="2">
        <v>43905878</v>
      </c>
      <c r="E4" s="2">
        <v>32335411</v>
      </c>
      <c r="F4" s="2">
        <v>10790696</v>
      </c>
      <c r="G4" s="1">
        <v>222953</v>
      </c>
      <c r="H4" s="2">
        <v>79486</v>
      </c>
      <c r="I4" s="2">
        <v>3005</v>
      </c>
    </row>
    <row r="5" spans="1:9" x14ac:dyDescent="0.4">
      <c r="A5" s="2">
        <v>2021</v>
      </c>
      <c r="B5" s="2" t="s">
        <v>11</v>
      </c>
      <c r="C5" s="2">
        <v>96087425</v>
      </c>
      <c r="D5" s="2">
        <v>31552270</v>
      </c>
      <c r="E5" s="2">
        <v>56470250</v>
      </c>
      <c r="F5" s="2">
        <v>8064905</v>
      </c>
      <c r="G5" s="1">
        <v>285990</v>
      </c>
      <c r="H5" s="2">
        <v>106435</v>
      </c>
      <c r="I5" s="2">
        <v>905</v>
      </c>
    </row>
    <row r="6" spans="1:9" x14ac:dyDescent="0.4">
      <c r="A6" s="2">
        <v>2021</v>
      </c>
      <c r="B6" s="2" t="s">
        <v>12</v>
      </c>
      <c r="C6" s="2">
        <v>95731490</v>
      </c>
      <c r="D6" s="2">
        <v>29859594</v>
      </c>
      <c r="E6" s="2">
        <v>56633974</v>
      </c>
      <c r="F6" s="2">
        <v>9237922</v>
      </c>
      <c r="G6" s="1">
        <v>339996</v>
      </c>
      <c r="H6" s="2">
        <v>98658</v>
      </c>
      <c r="I6" s="2">
        <v>-114</v>
      </c>
    </row>
    <row r="7" spans="1:9" x14ac:dyDescent="0.4">
      <c r="A7" s="2">
        <v>2021</v>
      </c>
      <c r="B7" s="2" t="s">
        <v>13</v>
      </c>
      <c r="C7" s="2">
        <v>97942712</v>
      </c>
      <c r="D7" s="2">
        <v>57791744</v>
      </c>
      <c r="E7" s="2">
        <v>31218408</v>
      </c>
      <c r="F7" s="2">
        <v>8932560</v>
      </c>
      <c r="G7" s="1">
        <v>337400</v>
      </c>
      <c r="H7" s="2">
        <v>98170</v>
      </c>
      <c r="I7" s="2">
        <v>352</v>
      </c>
    </row>
    <row r="8" spans="1:9" x14ac:dyDescent="0.4">
      <c r="A8" s="2">
        <v>2021</v>
      </c>
      <c r="B8" s="2" t="s">
        <v>14</v>
      </c>
      <c r="C8" s="2">
        <v>79293944</v>
      </c>
      <c r="D8" s="2">
        <v>41568031</v>
      </c>
      <c r="E8" s="2">
        <v>29571182</v>
      </c>
      <c r="F8" s="2">
        <v>8154731</v>
      </c>
      <c r="G8" s="1">
        <v>387350</v>
      </c>
      <c r="H8" s="2">
        <v>114237</v>
      </c>
      <c r="I8" s="2">
        <v>2120</v>
      </c>
    </row>
    <row r="9" spans="1:9" x14ac:dyDescent="0.4">
      <c r="A9" s="2">
        <v>2021</v>
      </c>
      <c r="B9" s="2" t="s">
        <v>15</v>
      </c>
      <c r="C9" s="2">
        <v>112791260</v>
      </c>
      <c r="D9" s="2">
        <v>67929727</v>
      </c>
      <c r="E9" s="2">
        <v>37822410</v>
      </c>
      <c r="F9" s="2">
        <v>7039123</v>
      </c>
      <c r="G9" s="1">
        <v>430528</v>
      </c>
      <c r="H9" s="2">
        <v>120909</v>
      </c>
      <c r="I9" s="2">
        <v>1727</v>
      </c>
    </row>
    <row r="10" spans="1:9" x14ac:dyDescent="0.4">
      <c r="A10" s="2">
        <v>2021</v>
      </c>
      <c r="B10" s="2" t="s">
        <v>16</v>
      </c>
      <c r="C10" s="2">
        <v>88255787</v>
      </c>
      <c r="D10" s="2">
        <v>54255008</v>
      </c>
      <c r="E10" s="2">
        <v>28068271</v>
      </c>
      <c r="F10" s="2">
        <v>5932508</v>
      </c>
      <c r="G10" s="1">
        <v>299182</v>
      </c>
      <c r="H10" s="2">
        <v>75570</v>
      </c>
      <c r="I10" s="2">
        <v>-511</v>
      </c>
    </row>
    <row r="11" spans="1:9" x14ac:dyDescent="0.4">
      <c r="A11" s="2">
        <v>2021</v>
      </c>
      <c r="B11" s="2" t="s">
        <v>17</v>
      </c>
      <c r="C11" s="2">
        <v>67739876</v>
      </c>
      <c r="D11" s="2">
        <v>37019485</v>
      </c>
      <c r="E11" s="2">
        <v>25198610</v>
      </c>
      <c r="F11" s="2">
        <v>5521781</v>
      </c>
      <c r="G11" s="1">
        <v>317366</v>
      </c>
      <c r="H11" s="2">
        <v>95462</v>
      </c>
      <c r="I11" s="2">
        <v>-389</v>
      </c>
    </row>
    <row r="12" spans="1:9" x14ac:dyDescent="0.4">
      <c r="A12" s="2">
        <v>2021</v>
      </c>
      <c r="B12" s="2" t="s">
        <v>18</v>
      </c>
      <c r="C12" s="2">
        <v>108740071</v>
      </c>
      <c r="D12" s="2">
        <v>46165813</v>
      </c>
      <c r="E12" s="2">
        <v>52909026</v>
      </c>
      <c r="F12" s="2">
        <v>9665232</v>
      </c>
      <c r="G12" s="1">
        <v>510956</v>
      </c>
      <c r="H12" s="2">
        <v>152701</v>
      </c>
      <c r="I12" s="2">
        <v>533</v>
      </c>
    </row>
    <row r="13" spans="1:9" x14ac:dyDescent="0.4">
      <c r="A13" s="2">
        <v>2021</v>
      </c>
      <c r="B13" s="2" t="s">
        <v>19</v>
      </c>
      <c r="C13" s="2">
        <v>110416503</v>
      </c>
      <c r="D13" s="2">
        <v>57517380</v>
      </c>
      <c r="E13" s="2">
        <v>45319869</v>
      </c>
      <c r="F13" s="2">
        <v>7579254</v>
      </c>
      <c r="G13" s="1">
        <v>473307</v>
      </c>
      <c r="H13" s="2">
        <v>132052</v>
      </c>
      <c r="I13" s="2">
        <v>2789</v>
      </c>
    </row>
    <row r="14" spans="1:9" x14ac:dyDescent="0.4">
      <c r="A14" s="2">
        <v>2021</v>
      </c>
      <c r="B14" s="2" t="s">
        <v>20</v>
      </c>
      <c r="C14" s="2">
        <v>95958124</v>
      </c>
      <c r="D14" s="2">
        <v>60695355</v>
      </c>
      <c r="E14" s="2">
        <v>28742860</v>
      </c>
      <c r="F14" s="2">
        <v>6519909</v>
      </c>
      <c r="G14" s="1">
        <v>304819</v>
      </c>
      <c r="H14" s="2">
        <v>89578</v>
      </c>
      <c r="I14" s="2">
        <v>1541</v>
      </c>
    </row>
    <row r="15" spans="1:9" x14ac:dyDescent="0.4">
      <c r="A15" s="2">
        <v>2021</v>
      </c>
      <c r="B15" s="2" t="s">
        <v>21</v>
      </c>
      <c r="C15" s="2">
        <v>148131112</v>
      </c>
      <c r="D15" s="2">
        <v>56944960</v>
      </c>
      <c r="E15" s="2">
        <v>78992624</v>
      </c>
      <c r="F15" s="2">
        <v>12193528</v>
      </c>
      <c r="G15" s="1">
        <v>368905</v>
      </c>
      <c r="H15" s="2">
        <v>119380</v>
      </c>
      <c r="I15" s="2">
        <v>1069</v>
      </c>
    </row>
    <row r="16" spans="1:9" x14ac:dyDescent="0.4">
      <c r="A16" s="2">
        <v>2021</v>
      </c>
      <c r="B16" s="2" t="s">
        <v>22</v>
      </c>
      <c r="C16" s="2">
        <v>83179122</v>
      </c>
      <c r="D16" s="2">
        <v>46183700</v>
      </c>
      <c r="E16" s="2">
        <v>30359568</v>
      </c>
      <c r="F16" s="2">
        <v>6635854</v>
      </c>
      <c r="G16" s="1">
        <v>447302</v>
      </c>
      <c r="H16" s="2">
        <v>151626</v>
      </c>
      <c r="I16" s="2">
        <v>2268</v>
      </c>
    </row>
    <row r="17" spans="1:9" x14ac:dyDescent="0.4">
      <c r="A17" s="2">
        <v>2021</v>
      </c>
      <c r="B17" s="2" t="s">
        <v>23</v>
      </c>
      <c r="C17" s="2">
        <v>125896852</v>
      </c>
      <c r="D17" s="2">
        <v>52107668</v>
      </c>
      <c r="E17" s="2">
        <v>62794479</v>
      </c>
      <c r="F17" s="2">
        <v>10994705</v>
      </c>
      <c r="G17" s="1">
        <v>574315</v>
      </c>
      <c r="H17" s="2">
        <v>204246</v>
      </c>
      <c r="I17" s="2">
        <v>-97</v>
      </c>
    </row>
    <row r="18" spans="1:9" x14ac:dyDescent="0.4">
      <c r="A18" s="2">
        <v>2021</v>
      </c>
      <c r="B18" s="2" t="s">
        <v>24</v>
      </c>
      <c r="C18" s="2">
        <v>123387880</v>
      </c>
      <c r="D18" s="2">
        <v>60237240</v>
      </c>
      <c r="E18" s="2">
        <v>56036771</v>
      </c>
      <c r="F18" s="2">
        <v>7113869</v>
      </c>
      <c r="G18" s="1">
        <v>396754</v>
      </c>
      <c r="H18" s="2">
        <v>144667</v>
      </c>
      <c r="I18" s="2">
        <v>906</v>
      </c>
    </row>
    <row r="19" spans="1:9" x14ac:dyDescent="0.4">
      <c r="A19" s="2">
        <v>2021</v>
      </c>
      <c r="B19" s="2" t="s">
        <v>25</v>
      </c>
      <c r="C19" s="2">
        <v>66752284</v>
      </c>
      <c r="D19" s="2">
        <v>42139004</v>
      </c>
      <c r="E19" s="2">
        <v>19830665</v>
      </c>
      <c r="F19" s="2">
        <v>4782615</v>
      </c>
      <c r="G19" s="1">
        <v>230811</v>
      </c>
      <c r="H19" s="2">
        <v>88945</v>
      </c>
      <c r="I19" s="2">
        <v>1497</v>
      </c>
    </row>
    <row r="20" spans="1:9" x14ac:dyDescent="0.4">
      <c r="A20" s="2">
        <v>2021</v>
      </c>
      <c r="B20" s="2" t="s">
        <v>26</v>
      </c>
      <c r="C20" s="2">
        <v>157499505</v>
      </c>
      <c r="D20" s="2">
        <v>61964048</v>
      </c>
      <c r="E20" s="2">
        <v>81402306</v>
      </c>
      <c r="F20" s="2">
        <v>14133151</v>
      </c>
      <c r="G20" s="1">
        <v>376837</v>
      </c>
      <c r="H20" s="2">
        <v>146625</v>
      </c>
      <c r="I20" s="2">
        <v>3861</v>
      </c>
    </row>
    <row r="21" spans="1:9" x14ac:dyDescent="0.4">
      <c r="A21" s="2">
        <v>2021</v>
      </c>
      <c r="B21" s="2" t="s">
        <v>27</v>
      </c>
      <c r="C21" s="2">
        <v>109377406</v>
      </c>
      <c r="D21" s="2">
        <v>58188663</v>
      </c>
      <c r="E21" s="2">
        <v>45706535</v>
      </c>
      <c r="F21" s="2">
        <v>5482208</v>
      </c>
      <c r="G21" s="1">
        <v>385483</v>
      </c>
      <c r="H21" s="2">
        <v>105722</v>
      </c>
      <c r="I21" s="2">
        <v>653</v>
      </c>
    </row>
    <row r="22" spans="1:9" x14ac:dyDescent="0.4">
      <c r="A22" s="2">
        <v>2021</v>
      </c>
      <c r="B22" s="2" t="s">
        <v>28</v>
      </c>
      <c r="C22" s="2">
        <v>166188364</v>
      </c>
      <c r="D22" s="2">
        <v>81960533</v>
      </c>
      <c r="E22" s="2">
        <v>75428105</v>
      </c>
      <c r="F22" s="2">
        <v>8799726</v>
      </c>
      <c r="G22" s="1">
        <v>485699</v>
      </c>
      <c r="H22" s="2">
        <v>118943</v>
      </c>
      <c r="I22" s="2">
        <v>-509</v>
      </c>
    </row>
    <row r="23" spans="1:9" x14ac:dyDescent="0.4">
      <c r="A23" s="2">
        <v>2021</v>
      </c>
      <c r="B23" s="2" t="s">
        <v>29</v>
      </c>
      <c r="C23" s="2">
        <v>191318304</v>
      </c>
      <c r="D23" s="2">
        <v>72872287</v>
      </c>
      <c r="E23" s="2">
        <v>104225039</v>
      </c>
      <c r="F23" s="2">
        <v>14220978</v>
      </c>
      <c r="G23" s="1">
        <v>412279</v>
      </c>
      <c r="H23" s="2">
        <v>178778</v>
      </c>
      <c r="I23" s="2">
        <v>-2235</v>
      </c>
    </row>
    <row r="24" spans="1:9" x14ac:dyDescent="0.4">
      <c r="A24" s="2">
        <v>2021</v>
      </c>
      <c r="B24" s="2" t="s">
        <v>30</v>
      </c>
      <c r="C24" s="2">
        <v>263148318</v>
      </c>
      <c r="D24" s="2">
        <v>93477395</v>
      </c>
      <c r="E24" s="2">
        <v>139523472</v>
      </c>
      <c r="F24" s="2">
        <v>30147451</v>
      </c>
      <c r="G24" s="1">
        <v>533042</v>
      </c>
      <c r="H24" s="2">
        <v>235796</v>
      </c>
      <c r="I24" s="2">
        <v>602</v>
      </c>
    </row>
    <row r="25" spans="1:9" x14ac:dyDescent="0.4">
      <c r="A25" s="2">
        <v>2021</v>
      </c>
      <c r="B25" s="2" t="s">
        <v>31</v>
      </c>
      <c r="C25" s="2">
        <v>166423657</v>
      </c>
      <c r="D25" s="2">
        <v>60517668</v>
      </c>
      <c r="E25" s="2">
        <v>89719740</v>
      </c>
      <c r="F25" s="2">
        <v>16186249</v>
      </c>
      <c r="G25" s="1">
        <v>658338</v>
      </c>
      <c r="H25" s="2">
        <v>245565</v>
      </c>
      <c r="I25" s="2">
        <v>4591</v>
      </c>
    </row>
    <row r="26" spans="1:9" x14ac:dyDescent="0.4">
      <c r="A26" s="2">
        <v>2021</v>
      </c>
      <c r="B26" s="2" t="s">
        <v>32</v>
      </c>
      <c r="C26" s="2">
        <v>87515237</v>
      </c>
      <c r="D26" s="2">
        <v>32292610</v>
      </c>
      <c r="E26" s="2">
        <v>45671791</v>
      </c>
      <c r="F26" s="2">
        <v>9550836</v>
      </c>
      <c r="G26" s="1">
        <v>462664</v>
      </c>
      <c r="H26" s="2">
        <v>152003</v>
      </c>
      <c r="I26" s="2">
        <v>6877</v>
      </c>
    </row>
    <row r="27" spans="1:9" x14ac:dyDescent="0.4">
      <c r="A27" s="2">
        <v>2022</v>
      </c>
      <c r="B27" s="2" t="s">
        <v>8</v>
      </c>
      <c r="C27" s="2">
        <v>164935619</v>
      </c>
      <c r="D27" s="2">
        <v>67454849</v>
      </c>
      <c r="E27" s="2">
        <v>89319867</v>
      </c>
      <c r="F27" s="2">
        <v>8160903</v>
      </c>
      <c r="G27" s="1">
        <v>141379</v>
      </c>
      <c r="H27" s="2">
        <v>50832</v>
      </c>
      <c r="I27" s="2">
        <v>783</v>
      </c>
    </row>
    <row r="28" spans="1:9" x14ac:dyDescent="0.4">
      <c r="A28" s="2">
        <v>2022</v>
      </c>
      <c r="B28" s="2" t="s">
        <v>9</v>
      </c>
      <c r="C28" s="2">
        <v>176154824</v>
      </c>
      <c r="D28" s="2">
        <v>45724150</v>
      </c>
      <c r="E28" s="2">
        <v>120765784</v>
      </c>
      <c r="F28" s="2">
        <v>9664890</v>
      </c>
      <c r="G28" s="1">
        <v>120437</v>
      </c>
      <c r="H28" s="2">
        <v>60081</v>
      </c>
      <c r="I28" s="2">
        <v>6974</v>
      </c>
    </row>
    <row r="29" spans="1:9" x14ac:dyDescent="0.4">
      <c r="A29" s="2">
        <v>2022</v>
      </c>
      <c r="B29" s="2" t="s">
        <v>10</v>
      </c>
      <c r="C29" s="2">
        <v>100875869</v>
      </c>
      <c r="D29" s="2">
        <v>50537978</v>
      </c>
      <c r="E29" s="2">
        <v>39369572</v>
      </c>
      <c r="F29" s="2">
        <v>10968319</v>
      </c>
      <c r="G29" s="1">
        <v>218650</v>
      </c>
      <c r="H29" s="2">
        <v>79420</v>
      </c>
      <c r="I29" s="2">
        <v>-66</v>
      </c>
    </row>
    <row r="30" spans="1:9" x14ac:dyDescent="0.4">
      <c r="A30" s="2">
        <v>2022</v>
      </c>
      <c r="B30" s="2" t="s">
        <v>11</v>
      </c>
      <c r="C30" s="2">
        <v>106165626</v>
      </c>
      <c r="D30" s="2">
        <v>34157923</v>
      </c>
      <c r="E30" s="2">
        <v>64269063</v>
      </c>
      <c r="F30" s="2">
        <v>7738640</v>
      </c>
      <c r="G30" s="1">
        <v>281000</v>
      </c>
      <c r="H30" s="2">
        <v>106035</v>
      </c>
      <c r="I30" s="2">
        <v>-400</v>
      </c>
    </row>
    <row r="31" spans="1:9" x14ac:dyDescent="0.4">
      <c r="A31" s="2">
        <v>2022</v>
      </c>
      <c r="B31" s="2" t="s">
        <v>12</v>
      </c>
      <c r="C31" s="2">
        <v>107246102</v>
      </c>
      <c r="D31" s="2">
        <v>33234902</v>
      </c>
      <c r="E31" s="2">
        <v>64860255</v>
      </c>
      <c r="F31" s="2">
        <v>9150945</v>
      </c>
      <c r="G31" s="1">
        <v>337416</v>
      </c>
      <c r="H31" s="2">
        <v>99126</v>
      </c>
      <c r="I31" s="2">
        <v>468</v>
      </c>
    </row>
    <row r="32" spans="1:9" x14ac:dyDescent="0.4">
      <c r="A32" s="2">
        <v>2022</v>
      </c>
      <c r="B32" s="2" t="s">
        <v>13</v>
      </c>
      <c r="C32" s="2">
        <v>106610793</v>
      </c>
      <c r="D32" s="2">
        <v>63284045</v>
      </c>
      <c r="E32" s="2">
        <v>34854710</v>
      </c>
      <c r="F32" s="2">
        <v>8472038</v>
      </c>
      <c r="G32" s="1">
        <v>336644</v>
      </c>
      <c r="H32" s="2">
        <v>98574</v>
      </c>
      <c r="I32" s="2">
        <v>404</v>
      </c>
    </row>
    <row r="33" spans="1:9" x14ac:dyDescent="0.4">
      <c r="A33" s="2">
        <v>2022</v>
      </c>
      <c r="B33" s="2" t="s">
        <v>14</v>
      </c>
      <c r="C33" s="2">
        <v>85919590</v>
      </c>
      <c r="D33" s="2">
        <v>46033124</v>
      </c>
      <c r="E33" s="2">
        <v>31943438</v>
      </c>
      <c r="F33" s="2">
        <v>7943028</v>
      </c>
      <c r="G33" s="1">
        <v>385318</v>
      </c>
      <c r="H33" s="2">
        <v>114961</v>
      </c>
      <c r="I33" s="2">
        <v>724</v>
      </c>
    </row>
    <row r="34" spans="1:9" x14ac:dyDescent="0.4">
      <c r="A34" s="2">
        <v>2022</v>
      </c>
      <c r="B34" s="2" t="s">
        <v>15</v>
      </c>
      <c r="C34" s="2">
        <v>126169567</v>
      </c>
      <c r="D34" s="2">
        <v>76331592</v>
      </c>
      <c r="E34" s="2">
        <v>43239120</v>
      </c>
      <c r="F34" s="2">
        <v>6598855</v>
      </c>
      <c r="G34" s="1">
        <v>430397</v>
      </c>
      <c r="H34" s="2">
        <v>122016</v>
      </c>
      <c r="I34" s="2">
        <v>1107</v>
      </c>
    </row>
    <row r="35" spans="1:9" x14ac:dyDescent="0.4">
      <c r="A35" s="2">
        <v>2022</v>
      </c>
      <c r="B35" s="2" t="s">
        <v>16</v>
      </c>
      <c r="C35" s="2">
        <v>94283492</v>
      </c>
      <c r="D35" s="2">
        <v>57994006</v>
      </c>
      <c r="E35" s="2">
        <v>30445153</v>
      </c>
      <c r="F35" s="2">
        <v>5844333</v>
      </c>
      <c r="G35" s="1">
        <v>293660</v>
      </c>
      <c r="H35" s="2">
        <v>75148</v>
      </c>
      <c r="I35" s="2">
        <v>-422</v>
      </c>
    </row>
    <row r="36" spans="1:9" x14ac:dyDescent="0.4">
      <c r="A36" s="2">
        <v>2022</v>
      </c>
      <c r="B36" s="2" t="s">
        <v>17</v>
      </c>
      <c r="C36" s="2">
        <v>71242195</v>
      </c>
      <c r="D36" s="2">
        <v>38900295</v>
      </c>
      <c r="E36" s="2">
        <v>26987249</v>
      </c>
      <c r="F36" s="2">
        <v>5354651</v>
      </c>
      <c r="G36" s="1">
        <v>311694</v>
      </c>
      <c r="H36" s="2">
        <v>95573</v>
      </c>
      <c r="I36" s="2">
        <v>111</v>
      </c>
    </row>
    <row r="37" spans="1:9" x14ac:dyDescent="0.4">
      <c r="A37" s="2">
        <v>2022</v>
      </c>
      <c r="B37" s="2" t="s">
        <v>18</v>
      </c>
      <c r="C37" s="2">
        <v>117486557</v>
      </c>
      <c r="D37" s="2">
        <v>50579231</v>
      </c>
      <c r="E37" s="2">
        <v>57264326</v>
      </c>
      <c r="F37" s="2">
        <v>9643000</v>
      </c>
      <c r="G37" s="1">
        <v>503734</v>
      </c>
      <c r="H37" s="2">
        <v>152305</v>
      </c>
      <c r="I37" s="2">
        <v>-396</v>
      </c>
    </row>
    <row r="38" spans="1:9" x14ac:dyDescent="0.4">
      <c r="A38" s="2">
        <v>2022</v>
      </c>
      <c r="B38" s="2" t="s">
        <v>19</v>
      </c>
      <c r="C38" s="2">
        <v>117881189</v>
      </c>
      <c r="D38" s="2">
        <v>61790167</v>
      </c>
      <c r="E38" s="2">
        <v>48938669</v>
      </c>
      <c r="F38" s="2">
        <v>7152353</v>
      </c>
      <c r="G38" s="1">
        <v>466746</v>
      </c>
      <c r="H38" s="2">
        <v>133291</v>
      </c>
      <c r="I38" s="2">
        <v>1239</v>
      </c>
    </row>
    <row r="39" spans="1:9" x14ac:dyDescent="0.4">
      <c r="A39" s="2">
        <v>2022</v>
      </c>
      <c r="B39" s="2" t="s">
        <v>20</v>
      </c>
      <c r="C39" s="2">
        <v>107163842</v>
      </c>
      <c r="D39" s="2">
        <v>68059904</v>
      </c>
      <c r="E39" s="2">
        <v>32850877</v>
      </c>
      <c r="F39" s="2">
        <v>6253061</v>
      </c>
      <c r="G39" s="1">
        <v>306337</v>
      </c>
      <c r="H39" s="2">
        <v>89435</v>
      </c>
      <c r="I39" s="2">
        <v>-143</v>
      </c>
    </row>
    <row r="40" spans="1:9" x14ac:dyDescent="0.4">
      <c r="A40" s="2">
        <v>2022</v>
      </c>
      <c r="B40" s="2" t="s">
        <v>21</v>
      </c>
      <c r="C40" s="2">
        <v>169324041</v>
      </c>
      <c r="D40" s="2">
        <v>64510577</v>
      </c>
      <c r="E40" s="2">
        <v>91948749</v>
      </c>
      <c r="F40" s="2">
        <v>12864715</v>
      </c>
      <c r="G40" s="1">
        <v>364638</v>
      </c>
      <c r="H40" s="2">
        <v>121250</v>
      </c>
      <c r="I40" s="2">
        <v>1870</v>
      </c>
    </row>
    <row r="41" spans="1:9" x14ac:dyDescent="0.4">
      <c r="A41" s="2">
        <v>2022</v>
      </c>
      <c r="B41" s="2" t="s">
        <v>22</v>
      </c>
      <c r="C41" s="2">
        <v>89458448</v>
      </c>
      <c r="D41" s="2">
        <v>49938837</v>
      </c>
      <c r="E41" s="2">
        <v>33236941</v>
      </c>
      <c r="F41" s="2">
        <v>6282670</v>
      </c>
      <c r="G41" s="1">
        <v>440881</v>
      </c>
      <c r="H41" s="2">
        <v>151251</v>
      </c>
      <c r="I41" s="2">
        <v>-375</v>
      </c>
    </row>
    <row r="42" spans="1:9" x14ac:dyDescent="0.4">
      <c r="A42" s="2">
        <v>2022</v>
      </c>
      <c r="B42" s="2" t="s">
        <v>23</v>
      </c>
      <c r="C42" s="2">
        <v>136615826</v>
      </c>
      <c r="D42" s="2">
        <v>55871596</v>
      </c>
      <c r="E42" s="2">
        <v>69470943</v>
      </c>
      <c r="F42" s="2">
        <v>11273287</v>
      </c>
      <c r="G42" s="1">
        <v>569166</v>
      </c>
      <c r="H42" s="2">
        <v>206352</v>
      </c>
      <c r="I42" s="2">
        <v>2106</v>
      </c>
    </row>
    <row r="43" spans="1:9" x14ac:dyDescent="0.4">
      <c r="A43" s="2">
        <v>2022</v>
      </c>
      <c r="B43" s="2" t="s">
        <v>24</v>
      </c>
      <c r="C43" s="2">
        <v>127504110</v>
      </c>
      <c r="D43" s="2">
        <v>61042525</v>
      </c>
      <c r="E43" s="2">
        <v>59580422</v>
      </c>
      <c r="F43" s="2">
        <v>6881163</v>
      </c>
      <c r="G43" s="1">
        <v>395315</v>
      </c>
      <c r="H43" s="2">
        <v>146040</v>
      </c>
      <c r="I43" s="2">
        <v>1373</v>
      </c>
    </row>
    <row r="44" spans="1:9" x14ac:dyDescent="0.4">
      <c r="A44" s="2">
        <v>2022</v>
      </c>
      <c r="B44" s="2" t="s">
        <v>25</v>
      </c>
      <c r="C44" s="2">
        <v>70056965</v>
      </c>
      <c r="D44" s="2">
        <v>45064854</v>
      </c>
      <c r="E44" s="2">
        <v>20465940</v>
      </c>
      <c r="F44" s="2">
        <v>4526171</v>
      </c>
      <c r="G44" s="1">
        <v>229642</v>
      </c>
      <c r="H44" s="2">
        <v>90508</v>
      </c>
      <c r="I44" s="2">
        <v>1563</v>
      </c>
    </row>
    <row r="45" spans="1:9" x14ac:dyDescent="0.4">
      <c r="A45" s="2">
        <v>2022</v>
      </c>
      <c r="B45" s="2" t="s">
        <v>26</v>
      </c>
      <c r="C45" s="2">
        <v>174830984</v>
      </c>
      <c r="D45" s="2">
        <v>69289958</v>
      </c>
      <c r="E45" s="2">
        <v>91890433</v>
      </c>
      <c r="F45" s="2">
        <v>13650593</v>
      </c>
      <c r="G45" s="1">
        <v>375675</v>
      </c>
      <c r="H45" s="2">
        <v>145946</v>
      </c>
      <c r="I45" s="2">
        <v>-679</v>
      </c>
    </row>
    <row r="46" spans="1:9" x14ac:dyDescent="0.4">
      <c r="A46" s="2">
        <v>2022</v>
      </c>
      <c r="B46" s="2" t="s">
        <v>27</v>
      </c>
      <c r="C46" s="2">
        <v>119187672</v>
      </c>
      <c r="D46" s="2">
        <v>62588194</v>
      </c>
      <c r="E46" s="2">
        <v>51528199</v>
      </c>
      <c r="F46" s="2">
        <v>5071279</v>
      </c>
      <c r="G46" s="1">
        <v>380596</v>
      </c>
      <c r="H46" s="2">
        <v>106263</v>
      </c>
      <c r="I46" s="2">
        <v>541</v>
      </c>
    </row>
    <row r="47" spans="1:9" x14ac:dyDescent="0.4">
      <c r="A47" s="2">
        <v>2022</v>
      </c>
      <c r="B47" s="2" t="s">
        <v>28</v>
      </c>
      <c r="C47" s="2">
        <v>183319578</v>
      </c>
      <c r="D47" s="2">
        <v>90076319</v>
      </c>
      <c r="E47" s="2">
        <v>84916033</v>
      </c>
      <c r="F47" s="2">
        <v>8327226</v>
      </c>
      <c r="G47" s="1">
        <v>486752</v>
      </c>
      <c r="H47" s="2">
        <v>118148</v>
      </c>
      <c r="I47" s="2">
        <v>-795</v>
      </c>
    </row>
    <row r="48" spans="1:9" x14ac:dyDescent="0.4">
      <c r="A48" s="2">
        <v>2022</v>
      </c>
      <c r="B48" s="2" t="s">
        <v>29</v>
      </c>
      <c r="C48" s="2">
        <v>209014453</v>
      </c>
      <c r="D48" s="2">
        <v>78195534</v>
      </c>
      <c r="E48" s="2">
        <v>117324071</v>
      </c>
      <c r="F48" s="2">
        <v>13494848</v>
      </c>
      <c r="G48" s="1">
        <v>404325</v>
      </c>
      <c r="H48" s="2">
        <v>176639</v>
      </c>
      <c r="I48" s="2">
        <v>-2139</v>
      </c>
    </row>
    <row r="49" spans="1:9" x14ac:dyDescent="0.4">
      <c r="A49" s="2">
        <v>2022</v>
      </c>
      <c r="B49" s="2" t="s">
        <v>30</v>
      </c>
      <c r="C49" s="2">
        <v>293965811</v>
      </c>
      <c r="D49" s="2">
        <v>103379977</v>
      </c>
      <c r="E49" s="2">
        <v>161272441</v>
      </c>
      <c r="F49" s="2">
        <v>29313393</v>
      </c>
      <c r="G49" s="1">
        <v>529102</v>
      </c>
      <c r="H49" s="2">
        <v>240480</v>
      </c>
      <c r="I49" s="2">
        <v>4684</v>
      </c>
    </row>
    <row r="50" spans="1:9" x14ac:dyDescent="0.4">
      <c r="A50" s="2">
        <v>2022</v>
      </c>
      <c r="B50" s="2" t="s">
        <v>31</v>
      </c>
      <c r="C50" s="2">
        <v>187955776</v>
      </c>
      <c r="D50" s="2">
        <v>67415209</v>
      </c>
      <c r="E50" s="2">
        <v>104523594</v>
      </c>
      <c r="F50" s="2">
        <v>16016973</v>
      </c>
      <c r="G50" s="1">
        <v>658801</v>
      </c>
      <c r="H50" s="2">
        <v>248750</v>
      </c>
      <c r="I50" s="2">
        <v>3185</v>
      </c>
    </row>
    <row r="51" spans="1:9" x14ac:dyDescent="0.4">
      <c r="A51" s="2">
        <v>2022</v>
      </c>
      <c r="B51" s="2" t="s">
        <v>32</v>
      </c>
      <c r="C51" s="2">
        <v>93924693</v>
      </c>
      <c r="D51" s="2">
        <v>35194304</v>
      </c>
      <c r="E51" s="2">
        <v>49416957</v>
      </c>
      <c r="F51" s="2">
        <v>9313432</v>
      </c>
      <c r="G51" s="1">
        <v>460067</v>
      </c>
      <c r="H51" s="2">
        <v>151875</v>
      </c>
      <c r="I51" s="2">
        <v>-128</v>
      </c>
    </row>
    <row r="52" spans="1:9" x14ac:dyDescent="0.4">
      <c r="A52" s="2">
        <v>2023</v>
      </c>
      <c r="B52" s="2" t="s">
        <v>8</v>
      </c>
      <c r="C52" s="2">
        <v>178567702</v>
      </c>
      <c r="D52" s="2">
        <v>70681425</v>
      </c>
      <c r="E52" s="2">
        <v>100748476</v>
      </c>
      <c r="F52" s="2">
        <v>7137801</v>
      </c>
      <c r="G52" s="1">
        <v>139417</v>
      </c>
      <c r="H52" s="2">
        <v>51000</v>
      </c>
      <c r="I52" s="2">
        <v>168</v>
      </c>
    </row>
    <row r="53" spans="1:9" x14ac:dyDescent="0.4">
      <c r="A53" s="2">
        <v>2023</v>
      </c>
      <c r="B53" s="2" t="s">
        <v>9</v>
      </c>
      <c r="C53" s="2">
        <v>202324327</v>
      </c>
      <c r="D53" s="2">
        <v>48721660</v>
      </c>
      <c r="E53" s="2">
        <v>144615589</v>
      </c>
      <c r="F53" s="2">
        <v>8987078</v>
      </c>
      <c r="G53" s="1">
        <v>121312</v>
      </c>
      <c r="H53" s="2">
        <v>57666</v>
      </c>
      <c r="I53" s="2">
        <v>-2415</v>
      </c>
    </row>
    <row r="54" spans="1:9" x14ac:dyDescent="0.4">
      <c r="A54" s="2">
        <v>2023</v>
      </c>
      <c r="B54" s="2" t="s">
        <v>10</v>
      </c>
      <c r="C54" s="2">
        <v>107760931</v>
      </c>
      <c r="D54" s="2">
        <v>54008803</v>
      </c>
      <c r="E54" s="2">
        <v>44222766</v>
      </c>
      <c r="F54" s="2">
        <v>9529362</v>
      </c>
      <c r="G54" s="1">
        <v>213151</v>
      </c>
      <c r="H54" s="2">
        <v>75436</v>
      </c>
      <c r="I54" s="2">
        <v>-3984</v>
      </c>
    </row>
    <row r="55" spans="1:9" x14ac:dyDescent="0.4">
      <c r="A55" s="2">
        <v>2023</v>
      </c>
      <c r="B55" s="2" t="s">
        <v>11</v>
      </c>
      <c r="C55" s="2">
        <v>111717923</v>
      </c>
      <c r="D55" s="2">
        <v>35237767</v>
      </c>
      <c r="E55" s="2">
        <v>70179191</v>
      </c>
      <c r="F55" s="2">
        <v>6300965</v>
      </c>
      <c r="G55" s="1">
        <v>277361</v>
      </c>
      <c r="H55" s="2">
        <v>104782</v>
      </c>
      <c r="I55" s="2">
        <v>-1253</v>
      </c>
    </row>
    <row r="56" spans="1:9" x14ac:dyDescent="0.4">
      <c r="A56" s="2">
        <v>2023</v>
      </c>
      <c r="B56" s="2" t="s">
        <v>12</v>
      </c>
      <c r="C56" s="2">
        <v>111528164</v>
      </c>
      <c r="D56" s="2">
        <v>34809718</v>
      </c>
      <c r="E56" s="2">
        <v>69506034</v>
      </c>
      <c r="F56" s="2">
        <v>7212412</v>
      </c>
      <c r="G56" s="1">
        <v>335554</v>
      </c>
      <c r="H56" s="2">
        <v>97936</v>
      </c>
      <c r="I56" s="2">
        <v>-1190</v>
      </c>
    </row>
    <row r="57" spans="1:9" x14ac:dyDescent="0.4">
      <c r="A57" s="2">
        <v>2023</v>
      </c>
      <c r="B57" s="2" t="s">
        <v>13</v>
      </c>
      <c r="C57" s="2">
        <v>111611079</v>
      </c>
      <c r="D57" s="2">
        <v>67437050</v>
      </c>
      <c r="E57" s="2">
        <v>37821239</v>
      </c>
      <c r="F57" s="2">
        <v>6352790</v>
      </c>
      <c r="G57" s="1">
        <v>341149</v>
      </c>
      <c r="H57" s="2">
        <v>99947</v>
      </c>
      <c r="I57" s="2">
        <v>1373</v>
      </c>
    </row>
    <row r="58" spans="1:9" x14ac:dyDescent="0.4">
      <c r="A58" s="2">
        <v>2023</v>
      </c>
      <c r="B58" s="2" t="s">
        <v>14</v>
      </c>
      <c r="C58" s="2">
        <v>88060625</v>
      </c>
      <c r="D58" s="2">
        <v>48356010</v>
      </c>
      <c r="E58" s="2">
        <v>33835684</v>
      </c>
      <c r="F58" s="2">
        <v>5868931</v>
      </c>
      <c r="G58" s="1">
        <v>382155</v>
      </c>
      <c r="H58" s="2">
        <v>116523</v>
      </c>
      <c r="I58" s="2">
        <v>1562</v>
      </c>
    </row>
    <row r="59" spans="1:9" x14ac:dyDescent="0.4">
      <c r="A59" s="2">
        <v>2023</v>
      </c>
      <c r="B59" s="2" t="s">
        <v>15</v>
      </c>
      <c r="C59" s="2">
        <v>131105290</v>
      </c>
      <c r="D59" s="2">
        <v>79361062</v>
      </c>
      <c r="E59" s="2">
        <v>46809536</v>
      </c>
      <c r="F59" s="2">
        <v>4934692</v>
      </c>
      <c r="G59" s="1">
        <v>425602</v>
      </c>
      <c r="H59" s="2">
        <v>122811</v>
      </c>
      <c r="I59" s="2">
        <v>795</v>
      </c>
    </row>
    <row r="60" spans="1:9" x14ac:dyDescent="0.4">
      <c r="A60" s="2">
        <v>2023</v>
      </c>
      <c r="B60" s="2" t="s">
        <v>16</v>
      </c>
      <c r="C60" s="2">
        <v>95421485</v>
      </c>
      <c r="D60" s="2">
        <v>59000850</v>
      </c>
      <c r="E60" s="2">
        <v>32266378</v>
      </c>
      <c r="F60" s="2">
        <v>4154257</v>
      </c>
      <c r="G60" s="1">
        <v>288113</v>
      </c>
      <c r="H60" s="2">
        <v>75166</v>
      </c>
      <c r="I60" s="2">
        <v>18</v>
      </c>
    </row>
    <row r="61" spans="1:9" x14ac:dyDescent="0.4">
      <c r="A61" s="2">
        <v>2023</v>
      </c>
      <c r="B61" s="2" t="s">
        <v>17</v>
      </c>
      <c r="C61" s="2">
        <v>71661572</v>
      </c>
      <c r="D61" s="2">
        <v>39783107</v>
      </c>
      <c r="E61" s="2">
        <v>28321911</v>
      </c>
      <c r="F61" s="2">
        <v>3556554</v>
      </c>
      <c r="G61" s="1">
        <v>306948</v>
      </c>
      <c r="H61" s="2">
        <v>95623</v>
      </c>
      <c r="I61" s="2">
        <v>50</v>
      </c>
    </row>
    <row r="62" spans="1:9" x14ac:dyDescent="0.4">
      <c r="A62" s="2">
        <v>2023</v>
      </c>
      <c r="B62" s="2" t="s">
        <v>18</v>
      </c>
      <c r="C62" s="2">
        <v>119823856</v>
      </c>
      <c r="D62" s="2">
        <v>51726460</v>
      </c>
      <c r="E62" s="2">
        <v>61347921</v>
      </c>
      <c r="F62" s="2">
        <v>6749475</v>
      </c>
      <c r="G62" s="1">
        <v>498213</v>
      </c>
      <c r="H62" s="2">
        <v>152633</v>
      </c>
      <c r="I62" s="2">
        <v>328</v>
      </c>
    </row>
    <row r="63" spans="1:9" x14ac:dyDescent="0.4">
      <c r="A63" s="2">
        <v>2023</v>
      </c>
      <c r="B63" s="2" t="s">
        <v>19</v>
      </c>
      <c r="C63" s="2">
        <v>120374400</v>
      </c>
      <c r="D63" s="2">
        <v>63338467</v>
      </c>
      <c r="E63" s="2">
        <v>51822570</v>
      </c>
      <c r="F63" s="2">
        <v>5213363</v>
      </c>
      <c r="G63" s="1">
        <v>466770</v>
      </c>
      <c r="H63" s="2">
        <v>133469</v>
      </c>
      <c r="I63" s="2">
        <v>178</v>
      </c>
    </row>
    <row r="64" spans="1:9" x14ac:dyDescent="0.4">
      <c r="A64" s="2">
        <v>2023</v>
      </c>
      <c r="B64" s="2" t="s">
        <v>20</v>
      </c>
      <c r="C64" s="2">
        <v>113855153</v>
      </c>
      <c r="D64" s="2">
        <v>72292718</v>
      </c>
      <c r="E64" s="2">
        <v>36582300</v>
      </c>
      <c r="F64" s="2">
        <v>4980135</v>
      </c>
      <c r="G64" s="1">
        <v>306231</v>
      </c>
      <c r="H64" s="2">
        <v>91862</v>
      </c>
      <c r="I64" s="2">
        <v>2427</v>
      </c>
    </row>
    <row r="65" spans="1:9" x14ac:dyDescent="0.4">
      <c r="A65" s="2">
        <v>2023</v>
      </c>
      <c r="B65" s="2" t="s">
        <v>21</v>
      </c>
      <c r="C65" s="2">
        <v>182982275</v>
      </c>
      <c r="D65" s="2">
        <v>68374401</v>
      </c>
      <c r="E65" s="2">
        <v>103281308</v>
      </c>
      <c r="F65" s="2">
        <v>11326566</v>
      </c>
      <c r="G65" s="1">
        <v>363697</v>
      </c>
      <c r="H65" s="2">
        <v>122415</v>
      </c>
      <c r="I65" s="2">
        <v>1165</v>
      </c>
    </row>
    <row r="66" spans="1:9" x14ac:dyDescent="0.4">
      <c r="A66" s="2">
        <v>2023</v>
      </c>
      <c r="B66" s="2" t="s">
        <v>22</v>
      </c>
      <c r="C66" s="2">
        <v>91670267</v>
      </c>
      <c r="D66" s="2">
        <v>51701808</v>
      </c>
      <c r="E66" s="2">
        <v>35246960</v>
      </c>
      <c r="F66" s="2">
        <v>4721499</v>
      </c>
      <c r="G66" s="1">
        <v>436028</v>
      </c>
      <c r="H66" s="2">
        <v>151668</v>
      </c>
      <c r="I66" s="2">
        <v>417</v>
      </c>
    </row>
    <row r="67" spans="1:9" x14ac:dyDescent="0.4">
      <c r="A67" s="2">
        <v>2023</v>
      </c>
      <c r="B67" s="2" t="s">
        <v>23</v>
      </c>
      <c r="C67" s="2">
        <v>141725103</v>
      </c>
      <c r="D67" s="2">
        <v>57398643</v>
      </c>
      <c r="E67" s="2">
        <v>75470439</v>
      </c>
      <c r="F67" s="2">
        <v>8856021</v>
      </c>
      <c r="G67" s="1">
        <v>563058</v>
      </c>
      <c r="H67" s="2">
        <v>206104</v>
      </c>
      <c r="I67" s="2">
        <v>-248</v>
      </c>
    </row>
    <row r="68" spans="1:9" x14ac:dyDescent="0.4">
      <c r="A68" s="2">
        <v>2023</v>
      </c>
      <c r="B68" s="2" t="s">
        <v>24</v>
      </c>
      <c r="C68" s="2">
        <v>131422494</v>
      </c>
      <c r="D68" s="2">
        <v>62850315</v>
      </c>
      <c r="E68" s="2">
        <v>63065182</v>
      </c>
      <c r="F68" s="2">
        <v>5506997</v>
      </c>
      <c r="G68" s="1">
        <v>392405</v>
      </c>
      <c r="H68" s="2">
        <v>148719</v>
      </c>
      <c r="I68" s="2">
        <v>2679</v>
      </c>
    </row>
    <row r="69" spans="1:9" x14ac:dyDescent="0.4">
      <c r="A69" s="2">
        <v>2023</v>
      </c>
      <c r="B69" s="2" t="s">
        <v>25</v>
      </c>
      <c r="C69" s="2">
        <v>71105776</v>
      </c>
      <c r="D69" s="2">
        <v>46171676</v>
      </c>
      <c r="E69" s="2">
        <v>21372019</v>
      </c>
      <c r="F69" s="2">
        <v>3562081</v>
      </c>
      <c r="G69" s="1">
        <v>227481</v>
      </c>
      <c r="H69" s="2">
        <v>92223</v>
      </c>
      <c r="I69" s="2">
        <v>1715</v>
      </c>
    </row>
    <row r="70" spans="1:9" x14ac:dyDescent="0.4">
      <c r="A70" s="2">
        <v>2023</v>
      </c>
      <c r="B70" s="2" t="s">
        <v>26</v>
      </c>
      <c r="C70" s="2">
        <v>184031098</v>
      </c>
      <c r="D70" s="2">
        <v>72387873</v>
      </c>
      <c r="E70" s="2">
        <v>100244057</v>
      </c>
      <c r="F70" s="2">
        <v>11399168</v>
      </c>
      <c r="G70" s="1">
        <v>374794</v>
      </c>
      <c r="H70" s="2">
        <v>144662</v>
      </c>
      <c r="I70" s="2">
        <v>-1284</v>
      </c>
    </row>
    <row r="71" spans="1:9" x14ac:dyDescent="0.4">
      <c r="A71" s="2">
        <v>2023</v>
      </c>
      <c r="B71" s="2" t="s">
        <v>27</v>
      </c>
      <c r="C71" s="2">
        <v>122261047</v>
      </c>
      <c r="D71" s="2">
        <v>62446828</v>
      </c>
      <c r="E71" s="2">
        <v>55771179</v>
      </c>
      <c r="F71" s="2">
        <v>4043040</v>
      </c>
      <c r="G71" s="1">
        <v>378769</v>
      </c>
      <c r="H71" s="2">
        <v>106150</v>
      </c>
      <c r="I71" s="2">
        <v>-113</v>
      </c>
    </row>
    <row r="72" spans="1:9" x14ac:dyDescent="0.4">
      <c r="A72" s="2">
        <v>2023</v>
      </c>
      <c r="B72" s="2" t="s">
        <v>28</v>
      </c>
      <c r="C72" s="2">
        <v>186640714</v>
      </c>
      <c r="D72" s="2">
        <v>89284855</v>
      </c>
      <c r="E72" s="2">
        <v>90767121</v>
      </c>
      <c r="F72" s="2">
        <v>6588738</v>
      </c>
      <c r="G72" s="1">
        <v>481956</v>
      </c>
      <c r="H72" s="2">
        <v>118886</v>
      </c>
      <c r="I72" s="2">
        <v>738</v>
      </c>
    </row>
    <row r="73" spans="1:9" x14ac:dyDescent="0.4">
      <c r="A73" s="2">
        <v>2023</v>
      </c>
      <c r="B73" s="2" t="s">
        <v>29</v>
      </c>
      <c r="C73" s="2">
        <v>217494174</v>
      </c>
      <c r="D73" s="2">
        <v>78646999</v>
      </c>
      <c r="E73" s="2">
        <v>127350104</v>
      </c>
      <c r="F73" s="2">
        <v>11497071</v>
      </c>
      <c r="G73" s="1">
        <v>407664</v>
      </c>
      <c r="H73" s="2">
        <v>176137</v>
      </c>
      <c r="I73" s="2">
        <v>-502</v>
      </c>
    </row>
    <row r="74" spans="1:9" x14ac:dyDescent="0.4">
      <c r="A74" s="2">
        <v>2023</v>
      </c>
      <c r="B74" s="2" t="s">
        <v>30</v>
      </c>
      <c r="C74" s="2">
        <v>306070238</v>
      </c>
      <c r="D74" s="2">
        <v>104997484</v>
      </c>
      <c r="E74" s="2">
        <v>175606259</v>
      </c>
      <c r="F74" s="2">
        <v>25466495</v>
      </c>
      <c r="G74" s="1">
        <v>544873</v>
      </c>
      <c r="H74" s="2">
        <v>250445</v>
      </c>
      <c r="I74" s="2">
        <v>9965</v>
      </c>
    </row>
    <row r="75" spans="1:9" x14ac:dyDescent="0.4">
      <c r="A75" s="2">
        <v>2023</v>
      </c>
      <c r="B75" s="2" t="s">
        <v>31</v>
      </c>
      <c r="C75" s="2">
        <v>197679387</v>
      </c>
      <c r="D75" s="2">
        <v>69881907</v>
      </c>
      <c r="E75" s="2">
        <v>115250643</v>
      </c>
      <c r="F75" s="2">
        <v>12546837</v>
      </c>
      <c r="G75" s="1">
        <v>654166</v>
      </c>
      <c r="H75" s="2">
        <v>245597</v>
      </c>
      <c r="I75" s="2">
        <v>-3153</v>
      </c>
    </row>
    <row r="76" spans="1:9" x14ac:dyDescent="0.4">
      <c r="A76" s="2">
        <v>2023</v>
      </c>
      <c r="B76" s="2" t="s">
        <v>32</v>
      </c>
      <c r="C76" s="2">
        <v>94011660</v>
      </c>
      <c r="D76" s="2">
        <v>35282772</v>
      </c>
      <c r="E76" s="2">
        <v>51997375</v>
      </c>
      <c r="F76" s="2">
        <v>6731513</v>
      </c>
      <c r="G76" s="1">
        <v>459167</v>
      </c>
      <c r="H76" s="2">
        <v>153678</v>
      </c>
      <c r="I76" s="2">
        <v>1803</v>
      </c>
    </row>
    <row r="77" spans="1:9" x14ac:dyDescent="0.4">
      <c r="A77" s="2">
        <v>2024</v>
      </c>
      <c r="B77" s="2" t="s">
        <v>8</v>
      </c>
      <c r="C77" s="2">
        <v>186553232</v>
      </c>
      <c r="D77" s="2">
        <v>74208386</v>
      </c>
      <c r="E77" s="2">
        <v>103323781</v>
      </c>
      <c r="F77" s="2">
        <v>9021065</v>
      </c>
      <c r="G77" s="1">
        <v>138336</v>
      </c>
      <c r="H77" s="2">
        <v>50482</v>
      </c>
      <c r="I77" s="2">
        <v>-518</v>
      </c>
    </row>
    <row r="78" spans="1:9" x14ac:dyDescent="0.4">
      <c r="A78" s="2">
        <v>2024</v>
      </c>
      <c r="B78" s="2" t="s">
        <v>9</v>
      </c>
      <c r="C78" s="2">
        <v>216622466</v>
      </c>
      <c r="D78" s="2">
        <v>52435264</v>
      </c>
      <c r="E78" s="2">
        <v>152294765</v>
      </c>
      <c r="F78" s="2">
        <v>11892437</v>
      </c>
      <c r="G78" s="1">
        <v>120544</v>
      </c>
      <c r="H78" s="2">
        <v>54332</v>
      </c>
      <c r="I78" s="2">
        <v>-3334</v>
      </c>
    </row>
    <row r="79" spans="1:9" x14ac:dyDescent="0.4">
      <c r="A79" s="2">
        <v>2024</v>
      </c>
      <c r="B79" s="2" t="s">
        <v>10</v>
      </c>
      <c r="C79" s="2">
        <v>115155774</v>
      </c>
      <c r="D79" s="2">
        <v>56796253</v>
      </c>
      <c r="E79" s="2">
        <v>45863450</v>
      </c>
      <c r="F79" s="2">
        <v>12496071</v>
      </c>
      <c r="G79" s="1">
        <v>203854</v>
      </c>
      <c r="H79" s="2">
        <v>74001</v>
      </c>
      <c r="I79" s="2">
        <v>-1435</v>
      </c>
    </row>
    <row r="80" spans="1:9" x14ac:dyDescent="0.4">
      <c r="A80" s="2">
        <v>2024</v>
      </c>
      <c r="B80" s="2" t="s">
        <v>11</v>
      </c>
      <c r="C80" s="2">
        <v>118721700</v>
      </c>
      <c r="D80" s="2">
        <v>37079391</v>
      </c>
      <c r="E80" s="2">
        <v>73862010</v>
      </c>
      <c r="F80" s="2">
        <v>7780299</v>
      </c>
      <c r="G80" s="1">
        <v>273669</v>
      </c>
      <c r="H80" s="2">
        <v>104641</v>
      </c>
      <c r="I80" s="2">
        <v>-141</v>
      </c>
    </row>
    <row r="81" spans="1:9" x14ac:dyDescent="0.4">
      <c r="A81" s="2">
        <v>2024</v>
      </c>
      <c r="B81" s="2" t="s">
        <v>12</v>
      </c>
      <c r="C81" s="2">
        <v>115686552</v>
      </c>
      <c r="D81" s="2">
        <v>36851896</v>
      </c>
      <c r="E81" s="2">
        <v>70329994</v>
      </c>
      <c r="F81" s="2">
        <v>8504662</v>
      </c>
      <c r="G81" s="1">
        <v>331963</v>
      </c>
      <c r="H81" s="2">
        <v>97218</v>
      </c>
      <c r="I81" s="2">
        <v>-718</v>
      </c>
    </row>
    <row r="82" spans="1:9" x14ac:dyDescent="0.4">
      <c r="A82" s="2">
        <v>2024</v>
      </c>
      <c r="B82" s="2" t="s">
        <v>13</v>
      </c>
      <c r="C82" s="2">
        <v>117287598</v>
      </c>
      <c r="D82" s="2">
        <v>70686857</v>
      </c>
      <c r="E82" s="2">
        <v>39182683</v>
      </c>
      <c r="F82" s="2">
        <v>7418058</v>
      </c>
      <c r="G82" s="1">
        <v>338735</v>
      </c>
      <c r="H82" s="2">
        <v>102749</v>
      </c>
      <c r="I82" s="2">
        <v>2802</v>
      </c>
    </row>
    <row r="83" spans="1:9" x14ac:dyDescent="0.4">
      <c r="A83" s="2">
        <v>2024</v>
      </c>
      <c r="B83" s="2" t="s">
        <v>14</v>
      </c>
      <c r="C83" s="2">
        <v>90693667</v>
      </c>
      <c r="D83" s="2">
        <v>49857596</v>
      </c>
      <c r="E83" s="2">
        <v>34271820</v>
      </c>
      <c r="F83" s="2">
        <v>6564251</v>
      </c>
      <c r="G83" s="1">
        <v>379274</v>
      </c>
      <c r="H83" s="2">
        <v>116575</v>
      </c>
      <c r="I83" s="2">
        <v>52</v>
      </c>
    </row>
    <row r="84" spans="1:9" x14ac:dyDescent="0.4">
      <c r="A84" s="2">
        <v>2024</v>
      </c>
      <c r="B84" s="2" t="s">
        <v>15</v>
      </c>
      <c r="C84" s="2">
        <v>135254268</v>
      </c>
      <c r="D84" s="2">
        <v>81559692</v>
      </c>
      <c r="E84" s="2">
        <v>47802034</v>
      </c>
      <c r="F84" s="2">
        <v>5892542</v>
      </c>
      <c r="G84" s="1">
        <v>421560</v>
      </c>
      <c r="H84" s="2">
        <v>122135</v>
      </c>
      <c r="I84" s="2">
        <v>-676</v>
      </c>
    </row>
    <row r="85" spans="1:9" x14ac:dyDescent="0.4">
      <c r="A85" s="2">
        <v>2024</v>
      </c>
      <c r="B85" s="2" t="s">
        <v>16</v>
      </c>
      <c r="C85" s="2">
        <v>97599102</v>
      </c>
      <c r="D85" s="2">
        <v>60149464</v>
      </c>
      <c r="E85" s="2">
        <v>32634332</v>
      </c>
      <c r="F85" s="2">
        <v>4815306</v>
      </c>
      <c r="G85" s="1">
        <v>283597</v>
      </c>
      <c r="H85" s="2">
        <v>74169</v>
      </c>
      <c r="I85" s="2">
        <v>-997</v>
      </c>
    </row>
    <row r="86" spans="1:9" x14ac:dyDescent="0.4">
      <c r="A86" s="2">
        <v>2024</v>
      </c>
      <c r="B86" s="2" t="s">
        <v>17</v>
      </c>
      <c r="C86" s="2">
        <v>74280229</v>
      </c>
      <c r="D86" s="2">
        <v>40702065</v>
      </c>
      <c r="E86" s="2">
        <v>29260920</v>
      </c>
      <c r="F86" s="2">
        <v>4317244</v>
      </c>
      <c r="G86" s="1">
        <v>303228</v>
      </c>
      <c r="H86" s="2">
        <v>94946</v>
      </c>
      <c r="I86" s="2">
        <v>-677</v>
      </c>
    </row>
    <row r="87" spans="1:9" x14ac:dyDescent="0.4">
      <c r="A87" s="2">
        <v>2024</v>
      </c>
      <c r="B87" s="2" t="s">
        <v>18</v>
      </c>
      <c r="C87" s="2">
        <v>127177261</v>
      </c>
      <c r="D87" s="2">
        <v>53541282</v>
      </c>
      <c r="E87" s="2">
        <v>65760380</v>
      </c>
      <c r="F87" s="2">
        <v>7875599</v>
      </c>
      <c r="G87" s="1">
        <v>491247</v>
      </c>
      <c r="H87" s="2">
        <v>152155</v>
      </c>
      <c r="I87" s="2">
        <v>-478</v>
      </c>
    </row>
    <row r="88" spans="1:9" x14ac:dyDescent="0.4">
      <c r="A88" s="2">
        <v>2024</v>
      </c>
      <c r="B88" s="2" t="s">
        <v>19</v>
      </c>
      <c r="C88" s="2">
        <v>124945537</v>
      </c>
      <c r="D88" s="2">
        <v>65746264</v>
      </c>
      <c r="E88" s="2">
        <v>52739892</v>
      </c>
      <c r="F88" s="2">
        <v>6459381</v>
      </c>
      <c r="G88" s="1">
        <v>460919</v>
      </c>
      <c r="H88" s="2">
        <v>135047</v>
      </c>
      <c r="I88" s="2">
        <v>1578</v>
      </c>
    </row>
    <row r="89" spans="1:9" x14ac:dyDescent="0.4">
      <c r="A89" s="2">
        <v>2024</v>
      </c>
      <c r="B89" s="2" t="s">
        <v>20</v>
      </c>
      <c r="C89" s="2">
        <v>118572562</v>
      </c>
      <c r="D89" s="2">
        <v>75152493</v>
      </c>
      <c r="E89" s="2">
        <v>37369540</v>
      </c>
      <c r="F89" s="2">
        <v>6050529</v>
      </c>
      <c r="G89" s="1">
        <v>302853</v>
      </c>
      <c r="H89" s="2">
        <v>91650</v>
      </c>
      <c r="I89" s="2">
        <v>-212</v>
      </c>
    </row>
    <row r="90" spans="1:9" x14ac:dyDescent="0.4">
      <c r="A90" s="2">
        <v>2024</v>
      </c>
      <c r="B90" s="2" t="s">
        <v>21</v>
      </c>
      <c r="C90" s="2">
        <v>193806111</v>
      </c>
      <c r="D90" s="2">
        <v>71954538</v>
      </c>
      <c r="E90" s="2">
        <v>107502551</v>
      </c>
      <c r="F90" s="2">
        <v>14349022</v>
      </c>
      <c r="G90" s="1">
        <v>361417</v>
      </c>
      <c r="H90" s="2">
        <v>121943</v>
      </c>
      <c r="I90" s="2">
        <v>-472</v>
      </c>
    </row>
    <row r="91" spans="1:9" x14ac:dyDescent="0.4">
      <c r="A91" s="2">
        <v>2024</v>
      </c>
      <c r="B91" s="2" t="s">
        <v>22</v>
      </c>
      <c r="C91" s="2">
        <v>94359714</v>
      </c>
      <c r="D91" s="2">
        <v>52935254</v>
      </c>
      <c r="E91" s="2">
        <v>35719191</v>
      </c>
      <c r="F91" s="2">
        <v>5705269</v>
      </c>
      <c r="G91" s="1">
        <v>430976</v>
      </c>
      <c r="H91" s="2">
        <v>151189</v>
      </c>
      <c r="I91" s="2">
        <v>-479</v>
      </c>
    </row>
    <row r="92" spans="1:9" x14ac:dyDescent="0.4">
      <c r="A92" s="2">
        <v>2024</v>
      </c>
      <c r="B92" s="2" t="s">
        <v>23</v>
      </c>
      <c r="C92" s="2">
        <v>147998353</v>
      </c>
      <c r="D92" s="2">
        <v>58712738</v>
      </c>
      <c r="E92" s="2">
        <v>78419782</v>
      </c>
      <c r="F92" s="2">
        <v>10865833</v>
      </c>
      <c r="G92" s="1">
        <v>556171</v>
      </c>
      <c r="H92" s="2">
        <v>204600</v>
      </c>
      <c r="I92" s="2">
        <v>-1504</v>
      </c>
    </row>
    <row r="93" spans="1:9" x14ac:dyDescent="0.4">
      <c r="A93" s="2">
        <v>2024</v>
      </c>
      <c r="B93" s="2" t="s">
        <v>24</v>
      </c>
      <c r="C93" s="2">
        <v>134451191</v>
      </c>
      <c r="D93" s="2">
        <v>64242239</v>
      </c>
      <c r="E93" s="2">
        <v>63648432</v>
      </c>
      <c r="F93" s="2">
        <v>6560520</v>
      </c>
      <c r="G93" s="1">
        <v>388169</v>
      </c>
      <c r="H93" s="2">
        <v>147678</v>
      </c>
      <c r="I93" s="2">
        <v>-1041</v>
      </c>
    </row>
    <row r="94" spans="1:9" x14ac:dyDescent="0.4">
      <c r="A94" s="2">
        <v>2024</v>
      </c>
      <c r="B94" s="2" t="s">
        <v>25</v>
      </c>
      <c r="C94" s="2">
        <v>71518788</v>
      </c>
      <c r="D94" s="2">
        <v>45829736</v>
      </c>
      <c r="E94" s="2">
        <v>21506116</v>
      </c>
      <c r="F94" s="2">
        <v>4182936</v>
      </c>
      <c r="G94" s="1">
        <v>225159</v>
      </c>
      <c r="H94" s="2">
        <v>91975</v>
      </c>
      <c r="I94" s="2">
        <v>-248</v>
      </c>
    </row>
    <row r="95" spans="1:9" x14ac:dyDescent="0.4">
      <c r="A95" s="2">
        <v>2024</v>
      </c>
      <c r="B95" s="2" t="s">
        <v>26</v>
      </c>
      <c r="C95" s="2">
        <v>192291682</v>
      </c>
      <c r="D95" s="2">
        <v>74379751</v>
      </c>
      <c r="E95" s="2">
        <v>103831744</v>
      </c>
      <c r="F95" s="2">
        <v>14080187</v>
      </c>
      <c r="G95" s="1">
        <v>373773</v>
      </c>
      <c r="H95" s="2">
        <v>144665</v>
      </c>
      <c r="I95" s="2">
        <v>3</v>
      </c>
    </row>
    <row r="96" spans="1:9" x14ac:dyDescent="0.4">
      <c r="A96" s="2">
        <v>2024</v>
      </c>
      <c r="B96" s="2" t="s">
        <v>27</v>
      </c>
      <c r="C96" s="2">
        <v>127517515</v>
      </c>
      <c r="D96" s="2">
        <v>65399210</v>
      </c>
      <c r="E96" s="2">
        <v>57208566</v>
      </c>
      <c r="F96" s="2">
        <v>4909739</v>
      </c>
      <c r="G96" s="1">
        <v>375799</v>
      </c>
      <c r="H96" s="2">
        <v>106362</v>
      </c>
      <c r="I96" s="2">
        <v>212</v>
      </c>
    </row>
    <row r="97" spans="1:9" x14ac:dyDescent="0.4">
      <c r="A97" s="2">
        <v>2024</v>
      </c>
      <c r="B97" s="2" t="s">
        <v>28</v>
      </c>
      <c r="C97" s="2">
        <v>191528043</v>
      </c>
      <c r="D97" s="2">
        <v>91648849</v>
      </c>
      <c r="E97" s="2">
        <v>92102308</v>
      </c>
      <c r="F97" s="2">
        <v>7776886</v>
      </c>
      <c r="G97" s="1">
        <v>477812</v>
      </c>
      <c r="H97" s="2">
        <v>117936</v>
      </c>
      <c r="I97" s="2">
        <v>-950</v>
      </c>
    </row>
    <row r="98" spans="1:9" x14ac:dyDescent="0.4">
      <c r="A98" s="2">
        <v>2024</v>
      </c>
      <c r="B98" s="2" t="s">
        <v>29</v>
      </c>
      <c r="C98" s="2">
        <v>225955483</v>
      </c>
      <c r="D98" s="2">
        <v>81739104</v>
      </c>
      <c r="E98" s="2">
        <v>130172545</v>
      </c>
      <c r="F98" s="2">
        <v>14043834</v>
      </c>
      <c r="G98" s="1">
        <v>408376</v>
      </c>
      <c r="H98" s="2">
        <v>176628</v>
      </c>
      <c r="I98" s="2">
        <v>491</v>
      </c>
    </row>
    <row r="99" spans="1:9" x14ac:dyDescent="0.4">
      <c r="A99" s="2">
        <v>2024</v>
      </c>
      <c r="B99" s="2" t="s">
        <v>30</v>
      </c>
      <c r="C99" s="2">
        <v>322927844</v>
      </c>
      <c r="D99" s="2">
        <v>111266706</v>
      </c>
      <c r="E99" s="2">
        <v>179953430</v>
      </c>
      <c r="F99" s="2">
        <v>31707708</v>
      </c>
      <c r="G99" s="1">
        <v>557345</v>
      </c>
      <c r="H99" s="2">
        <v>256099</v>
      </c>
      <c r="I99" s="2">
        <v>5654</v>
      </c>
    </row>
    <row r="100" spans="1:9" x14ac:dyDescent="0.4">
      <c r="A100" s="2">
        <v>2024</v>
      </c>
      <c r="B100" s="2" t="s">
        <v>31</v>
      </c>
      <c r="C100" s="2">
        <v>208052956</v>
      </c>
      <c r="D100" s="2">
        <v>71926631</v>
      </c>
      <c r="E100" s="2">
        <v>120662352</v>
      </c>
      <c r="F100" s="2">
        <v>15463973</v>
      </c>
      <c r="G100" s="1">
        <v>650110</v>
      </c>
      <c r="H100" s="2">
        <v>244079</v>
      </c>
      <c r="I100" s="2">
        <v>-1518</v>
      </c>
    </row>
    <row r="101" spans="1:9" x14ac:dyDescent="0.4">
      <c r="A101" s="2">
        <v>2024</v>
      </c>
      <c r="B101" s="2" t="s">
        <v>32</v>
      </c>
      <c r="C101" s="2">
        <v>102160042</v>
      </c>
      <c r="D101" s="2">
        <v>38033929</v>
      </c>
      <c r="E101" s="2">
        <v>55794880</v>
      </c>
      <c r="F101" s="2">
        <v>8331233</v>
      </c>
      <c r="G101" s="1">
        <v>476942</v>
      </c>
      <c r="H101" s="2">
        <v>154522</v>
      </c>
      <c r="I101" s="2">
        <v>844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03E0-C3D2-46E9-88C7-0832F2EBE39C}">
  <dimension ref="A1:O101"/>
  <sheetViews>
    <sheetView topLeftCell="F1" zoomScaleNormal="100" workbookViewId="0">
      <selection activeCell="N8" sqref="N8"/>
    </sheetView>
  </sheetViews>
  <sheetFormatPr defaultRowHeight="17.399999999999999" x14ac:dyDescent="0.4"/>
  <cols>
    <col min="3" max="3" width="10.3984375" bestFit="1" customWidth="1"/>
    <col min="5" max="5" width="10.3984375" bestFit="1" customWidth="1"/>
    <col min="6" max="6" width="9.3984375" bestFit="1" customWidth="1"/>
    <col min="8" max="8" width="15.19921875" bestFit="1" customWidth="1"/>
    <col min="9" max="9" width="19.796875" bestFit="1" customWidth="1"/>
    <col min="10" max="10" width="5.09765625" customWidth="1"/>
    <col min="11" max="11" width="11.19921875" bestFit="1" customWidth="1"/>
    <col min="12" max="12" width="21" bestFit="1" customWidth="1"/>
    <col min="13" max="13" width="11.5" bestFit="1" customWidth="1"/>
    <col min="14" max="14" width="12.296875" bestFit="1" customWidth="1"/>
    <col min="15" max="15" width="10.3984375" bestFit="1" customWidth="1"/>
    <col min="16" max="25" width="9.3984375" bestFit="1" customWidth="1"/>
    <col min="26" max="26" width="10.3984375" bestFit="1" customWidth="1"/>
    <col min="27" max="32" width="9.3984375" bestFit="1" customWidth="1"/>
    <col min="33" max="33" width="10.3984375" bestFit="1" customWidth="1"/>
    <col min="34" max="39" width="9.3984375" bestFit="1" customWidth="1"/>
    <col min="40" max="40" width="10.3984375" bestFit="1" customWidth="1"/>
    <col min="41" max="47" width="9.3984375" bestFit="1" customWidth="1"/>
    <col min="48" max="48" width="10.3984375" bestFit="1" customWidth="1"/>
    <col min="49" max="79" width="9.3984375" bestFit="1" customWidth="1"/>
    <col min="80" max="80" width="10.3984375" bestFit="1" customWidth="1"/>
    <col min="81" max="84" width="9.3984375" bestFit="1" customWidth="1"/>
    <col min="85" max="85" width="10.3984375" bestFit="1" customWidth="1"/>
    <col min="86" max="86" width="9.3984375" bestFit="1" customWidth="1"/>
    <col min="87" max="88" width="10.3984375" bestFit="1" customWidth="1"/>
    <col min="89" max="89" width="9.3984375" bestFit="1" customWidth="1"/>
    <col min="90" max="91" width="10.3984375" bestFit="1" customWidth="1"/>
    <col min="92" max="92" width="9.3984375" bestFit="1" customWidth="1"/>
    <col min="93" max="96" width="10.3984375" bestFit="1" customWidth="1"/>
    <col min="97" max="98" width="9.3984375" bestFit="1" customWidth="1"/>
    <col min="99" max="100" width="10.3984375" bestFit="1" customWidth="1"/>
    <col min="101" max="102" width="9.3984375" bestFit="1" customWidth="1"/>
    <col min="103" max="103" width="10.3984375" bestFit="1" customWidth="1"/>
    <col min="104" max="107" width="9.3984375" bestFit="1" customWidth="1"/>
    <col min="108" max="111" width="10.3984375" bestFit="1" customWidth="1"/>
    <col min="112" max="112" width="11.5" bestFit="1" customWidth="1"/>
    <col min="113" max="113" width="13.8984375" bestFit="1" customWidth="1"/>
    <col min="114" max="114" width="11.3984375" bestFit="1" customWidth="1"/>
    <col min="115" max="115" width="13.8984375" bestFit="1" customWidth="1"/>
    <col min="116" max="116" width="11.3984375" bestFit="1" customWidth="1"/>
    <col min="117" max="117" width="13.8984375" bestFit="1" customWidth="1"/>
    <col min="118" max="118" width="11.3984375" bestFit="1" customWidth="1"/>
    <col min="119" max="119" width="13.8984375" bestFit="1" customWidth="1"/>
    <col min="120" max="120" width="11.3984375" bestFit="1" customWidth="1"/>
    <col min="121" max="121" width="13.8984375" bestFit="1" customWidth="1"/>
    <col min="122" max="122" width="11.3984375" bestFit="1" customWidth="1"/>
    <col min="123" max="123" width="13.8984375" bestFit="1" customWidth="1"/>
    <col min="124" max="124" width="11.3984375" bestFit="1" customWidth="1"/>
    <col min="125" max="125" width="13.8984375" bestFit="1" customWidth="1"/>
    <col min="126" max="126" width="11.3984375" bestFit="1" customWidth="1"/>
    <col min="127" max="127" width="13.8984375" bestFit="1" customWidth="1"/>
    <col min="128" max="128" width="11.3984375" bestFit="1" customWidth="1"/>
    <col min="129" max="129" width="13.8984375" bestFit="1" customWidth="1"/>
    <col min="130" max="130" width="11.3984375" bestFit="1" customWidth="1"/>
    <col min="131" max="131" width="13.8984375" bestFit="1" customWidth="1"/>
    <col min="132" max="132" width="11.3984375" bestFit="1" customWidth="1"/>
    <col min="133" max="133" width="13.8984375" bestFit="1" customWidth="1"/>
    <col min="134" max="134" width="11.3984375" bestFit="1" customWidth="1"/>
    <col min="135" max="135" width="13.8984375" bestFit="1" customWidth="1"/>
    <col min="136" max="136" width="11.3984375" bestFit="1" customWidth="1"/>
    <col min="137" max="137" width="13.8984375" bestFit="1" customWidth="1"/>
    <col min="138" max="138" width="11.3984375" bestFit="1" customWidth="1"/>
    <col min="139" max="139" width="13.8984375" bestFit="1" customWidth="1"/>
    <col min="140" max="140" width="11.3984375" bestFit="1" customWidth="1"/>
    <col min="141" max="141" width="13.8984375" bestFit="1" customWidth="1"/>
    <col min="142" max="142" width="11.3984375" bestFit="1" customWidth="1"/>
    <col min="143" max="143" width="13.8984375" bestFit="1" customWidth="1"/>
    <col min="144" max="144" width="11.3984375" bestFit="1" customWidth="1"/>
    <col min="145" max="145" width="13.8984375" bestFit="1" customWidth="1"/>
    <col min="146" max="146" width="11.3984375" bestFit="1" customWidth="1"/>
    <col min="147" max="147" width="13.8984375" bestFit="1" customWidth="1"/>
    <col min="148" max="148" width="11.3984375" bestFit="1" customWidth="1"/>
    <col min="149" max="149" width="13.8984375" bestFit="1" customWidth="1"/>
    <col min="150" max="150" width="11.3984375" bestFit="1" customWidth="1"/>
    <col min="151" max="151" width="13.8984375" bestFit="1" customWidth="1"/>
    <col min="152" max="152" width="11.3984375" bestFit="1" customWidth="1"/>
    <col min="153" max="153" width="13.8984375" bestFit="1" customWidth="1"/>
    <col min="154" max="154" width="11.3984375" bestFit="1" customWidth="1"/>
    <col min="155" max="155" width="13.8984375" bestFit="1" customWidth="1"/>
    <col min="156" max="156" width="11.3984375" bestFit="1" customWidth="1"/>
    <col min="157" max="157" width="13.8984375" bestFit="1" customWidth="1"/>
    <col min="158" max="158" width="11.3984375" bestFit="1" customWidth="1"/>
    <col min="159" max="159" width="13.8984375" bestFit="1" customWidth="1"/>
    <col min="160" max="160" width="11.3984375" bestFit="1" customWidth="1"/>
    <col min="161" max="161" width="13.8984375" bestFit="1" customWidth="1"/>
    <col min="162" max="162" width="11.3984375" bestFit="1" customWidth="1"/>
    <col min="163" max="163" width="13.8984375" bestFit="1" customWidth="1"/>
    <col min="164" max="164" width="11.3984375" bestFit="1" customWidth="1"/>
    <col min="165" max="165" width="13.8984375" bestFit="1" customWidth="1"/>
    <col min="166" max="166" width="11.3984375" bestFit="1" customWidth="1"/>
    <col min="167" max="167" width="13.8984375" bestFit="1" customWidth="1"/>
    <col min="168" max="168" width="11.3984375" bestFit="1" customWidth="1"/>
    <col min="169" max="169" width="13.8984375" bestFit="1" customWidth="1"/>
    <col min="170" max="170" width="11.3984375" bestFit="1" customWidth="1"/>
    <col min="171" max="171" width="13.8984375" bestFit="1" customWidth="1"/>
    <col min="172" max="172" width="11.3984375" bestFit="1" customWidth="1"/>
    <col min="173" max="173" width="13.8984375" bestFit="1" customWidth="1"/>
    <col min="174" max="174" width="11.3984375" bestFit="1" customWidth="1"/>
    <col min="175" max="175" width="13.8984375" bestFit="1" customWidth="1"/>
    <col min="176" max="176" width="11.3984375" bestFit="1" customWidth="1"/>
    <col min="177" max="177" width="13.8984375" bestFit="1" customWidth="1"/>
    <col min="178" max="178" width="11.3984375" bestFit="1" customWidth="1"/>
    <col min="179" max="179" width="13.8984375" bestFit="1" customWidth="1"/>
    <col min="180" max="180" width="11.3984375" bestFit="1" customWidth="1"/>
    <col min="181" max="181" width="13.8984375" bestFit="1" customWidth="1"/>
    <col min="182" max="182" width="11.3984375" bestFit="1" customWidth="1"/>
    <col min="183" max="183" width="13.8984375" bestFit="1" customWidth="1"/>
    <col min="184" max="184" width="11.3984375" bestFit="1" customWidth="1"/>
    <col min="185" max="185" width="13.8984375" bestFit="1" customWidth="1"/>
    <col min="186" max="186" width="11.3984375" bestFit="1" customWidth="1"/>
    <col min="187" max="187" width="13.8984375" bestFit="1" customWidth="1"/>
    <col min="188" max="188" width="11.3984375" bestFit="1" customWidth="1"/>
    <col min="189" max="189" width="13.8984375" bestFit="1" customWidth="1"/>
    <col min="190" max="190" width="11.3984375" bestFit="1" customWidth="1"/>
    <col min="191" max="191" width="13.8984375" bestFit="1" customWidth="1"/>
    <col min="192" max="192" width="11.3984375" bestFit="1" customWidth="1"/>
    <col min="193" max="193" width="13.8984375" bestFit="1" customWidth="1"/>
    <col min="194" max="194" width="11.3984375" bestFit="1" customWidth="1"/>
    <col min="195" max="195" width="13.8984375" bestFit="1" customWidth="1"/>
    <col min="196" max="196" width="11.3984375" bestFit="1" customWidth="1"/>
    <col min="197" max="197" width="13.8984375" bestFit="1" customWidth="1"/>
    <col min="198" max="198" width="11.3984375" bestFit="1" customWidth="1"/>
    <col min="199" max="199" width="13.8984375" bestFit="1" customWidth="1"/>
    <col min="200" max="200" width="11.3984375" bestFit="1" customWidth="1"/>
    <col min="201" max="201" width="13.8984375" bestFit="1" customWidth="1"/>
    <col min="202" max="202" width="11.3984375" bestFit="1" customWidth="1"/>
    <col min="203" max="203" width="13.8984375" bestFit="1" customWidth="1"/>
    <col min="204" max="204" width="11.3984375" bestFit="1" customWidth="1"/>
    <col min="205" max="205" width="13.8984375" bestFit="1" customWidth="1"/>
    <col min="206" max="206" width="12.3984375" bestFit="1" customWidth="1"/>
    <col min="207" max="207" width="15" bestFit="1" customWidth="1"/>
    <col min="208" max="208" width="12.3984375" bestFit="1" customWidth="1"/>
    <col min="209" max="209" width="15" bestFit="1" customWidth="1"/>
    <col min="210" max="210" width="12.3984375" bestFit="1" customWidth="1"/>
    <col min="211" max="211" width="15" bestFit="1" customWidth="1"/>
    <col min="212" max="212" width="6.796875" bestFit="1" customWidth="1"/>
  </cols>
  <sheetData>
    <row r="1" spans="1: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</row>
    <row r="2" spans="1:15" x14ac:dyDescent="0.4">
      <c r="A2" s="2">
        <v>2021</v>
      </c>
      <c r="B2" s="2" t="s">
        <v>8</v>
      </c>
      <c r="C2" s="2">
        <v>141759969</v>
      </c>
      <c r="D2" s="2">
        <v>57821751</v>
      </c>
      <c r="E2" s="2">
        <v>75771163</v>
      </c>
      <c r="F2" s="2">
        <v>8167055</v>
      </c>
      <c r="G2" s="1">
        <v>144683</v>
      </c>
      <c r="H2" s="2">
        <v>50049</v>
      </c>
      <c r="I2" s="2">
        <v>-11</v>
      </c>
    </row>
    <row r="3" spans="1:15" x14ac:dyDescent="0.4">
      <c r="A3" s="2">
        <v>2021</v>
      </c>
      <c r="B3" s="2" t="s">
        <v>9</v>
      </c>
      <c r="C3" s="2">
        <v>149856039</v>
      </c>
      <c r="D3" s="2">
        <v>39190006</v>
      </c>
      <c r="E3" s="2">
        <v>100938579</v>
      </c>
      <c r="F3" s="2">
        <v>9727454</v>
      </c>
      <c r="G3" s="1">
        <v>122499</v>
      </c>
      <c r="H3" s="2">
        <v>53107</v>
      </c>
      <c r="I3" s="2">
        <v>1947</v>
      </c>
      <c r="K3" s="3" t="s">
        <v>34</v>
      </c>
      <c r="L3" t="s">
        <v>43</v>
      </c>
      <c r="M3" t="s">
        <v>37</v>
      </c>
      <c r="N3" t="s">
        <v>36</v>
      </c>
      <c r="O3" t="s">
        <v>38</v>
      </c>
    </row>
    <row r="4" spans="1:15" x14ac:dyDescent="0.4">
      <c r="A4" s="2">
        <v>2021</v>
      </c>
      <c r="B4" s="2" t="s">
        <v>10</v>
      </c>
      <c r="C4" s="2">
        <v>87031985</v>
      </c>
      <c r="D4" s="2">
        <v>43905878</v>
      </c>
      <c r="E4" s="2">
        <v>32335411</v>
      </c>
      <c r="F4" s="2">
        <v>10790696</v>
      </c>
      <c r="G4" s="1">
        <v>222953</v>
      </c>
      <c r="H4" s="2">
        <v>79486</v>
      </c>
      <c r="I4" s="2">
        <v>3005</v>
      </c>
      <c r="K4" s="4">
        <v>2021</v>
      </c>
      <c r="L4" s="6">
        <v>3158710</v>
      </c>
      <c r="M4" s="6">
        <v>1344157818</v>
      </c>
      <c r="N4" s="6">
        <v>1430691108</v>
      </c>
      <c r="O4" s="6">
        <v>245574300</v>
      </c>
    </row>
    <row r="5" spans="1:15" x14ac:dyDescent="0.4">
      <c r="A5" s="2">
        <v>2021</v>
      </c>
      <c r="B5" s="2" t="s">
        <v>11</v>
      </c>
      <c r="C5" s="2">
        <v>96087425</v>
      </c>
      <c r="D5" s="2">
        <v>31552270</v>
      </c>
      <c r="E5" s="2">
        <v>56470250</v>
      </c>
      <c r="F5" s="2">
        <v>8064905</v>
      </c>
      <c r="G5" s="1">
        <v>285990</v>
      </c>
      <c r="H5" s="2">
        <v>106435</v>
      </c>
      <c r="I5" s="2">
        <v>905</v>
      </c>
      <c r="K5" s="4">
        <v>2022</v>
      </c>
      <c r="L5" s="6">
        <v>3180299</v>
      </c>
      <c r="M5" s="6">
        <v>1476650050</v>
      </c>
      <c r="N5" s="6">
        <v>1620682806</v>
      </c>
      <c r="O5" s="6">
        <v>239960766</v>
      </c>
    </row>
    <row r="6" spans="1:15" x14ac:dyDescent="0.4">
      <c r="A6" s="2">
        <v>2021</v>
      </c>
      <c r="B6" s="2" t="s">
        <v>12</v>
      </c>
      <c r="C6" s="2">
        <v>95731490</v>
      </c>
      <c r="D6" s="2">
        <v>29859594</v>
      </c>
      <c r="E6" s="2">
        <v>56633974</v>
      </c>
      <c r="F6" s="2">
        <v>9237922</v>
      </c>
      <c r="G6" s="1">
        <v>339996</v>
      </c>
      <c r="H6" s="2">
        <v>98658</v>
      </c>
      <c r="I6" s="2">
        <v>-114</v>
      </c>
      <c r="K6" s="4">
        <v>2023</v>
      </c>
      <c r="L6" s="6">
        <v>3191538</v>
      </c>
      <c r="M6" s="6">
        <v>1524180658</v>
      </c>
      <c r="N6" s="6">
        <v>1773502241</v>
      </c>
      <c r="O6" s="6">
        <v>193223841</v>
      </c>
    </row>
    <row r="7" spans="1:15" x14ac:dyDescent="0.4">
      <c r="A7" s="2">
        <v>2021</v>
      </c>
      <c r="B7" s="2" t="s">
        <v>13</v>
      </c>
      <c r="C7" s="2">
        <v>97942712</v>
      </c>
      <c r="D7" s="2">
        <v>57791744</v>
      </c>
      <c r="E7" s="2">
        <v>31218408</v>
      </c>
      <c r="F7" s="2">
        <v>8932560</v>
      </c>
      <c r="G7" s="1">
        <v>337400</v>
      </c>
      <c r="H7" s="2">
        <v>98170</v>
      </c>
      <c r="I7" s="2">
        <v>352</v>
      </c>
      <c r="K7" s="4">
        <v>2024</v>
      </c>
      <c r="L7" s="6">
        <v>3187776</v>
      </c>
      <c r="M7" s="6">
        <v>1582835588</v>
      </c>
      <c r="N7" s="6">
        <v>1831217498</v>
      </c>
      <c r="O7" s="6">
        <v>237064584</v>
      </c>
    </row>
    <row r="8" spans="1:15" x14ac:dyDescent="0.4">
      <c r="A8" s="2">
        <v>2021</v>
      </c>
      <c r="B8" s="2" t="s">
        <v>14</v>
      </c>
      <c r="C8" s="2">
        <v>79293944</v>
      </c>
      <c r="D8" s="2">
        <v>41568031</v>
      </c>
      <c r="E8" s="2">
        <v>29571182</v>
      </c>
      <c r="F8" s="2">
        <v>8154731</v>
      </c>
      <c r="G8" s="1">
        <v>387350</v>
      </c>
      <c r="H8" s="2">
        <v>114237</v>
      </c>
      <c r="I8" s="2">
        <v>2120</v>
      </c>
      <c r="K8" s="4" t="s">
        <v>35</v>
      </c>
      <c r="L8" s="6">
        <v>12718323</v>
      </c>
      <c r="M8" s="6">
        <v>5927824114</v>
      </c>
      <c r="N8" s="6">
        <v>6656093653</v>
      </c>
      <c r="O8" s="6">
        <v>915823491</v>
      </c>
    </row>
    <row r="9" spans="1:15" x14ac:dyDescent="0.4">
      <c r="A9" s="2">
        <v>2021</v>
      </c>
      <c r="B9" s="2" t="s">
        <v>15</v>
      </c>
      <c r="C9" s="2">
        <v>112791260</v>
      </c>
      <c r="D9" s="2">
        <v>67929727</v>
      </c>
      <c r="E9" s="2">
        <v>37822410</v>
      </c>
      <c r="F9" s="2">
        <v>7039123</v>
      </c>
      <c r="G9" s="1">
        <v>430528</v>
      </c>
      <c r="H9" s="2">
        <v>120909</v>
      </c>
      <c r="I9" s="2">
        <v>1727</v>
      </c>
    </row>
    <row r="10" spans="1:15" x14ac:dyDescent="0.4">
      <c r="A10" s="2">
        <v>2021</v>
      </c>
      <c r="B10" s="2" t="s">
        <v>16</v>
      </c>
      <c r="C10" s="2">
        <v>88255787</v>
      </c>
      <c r="D10" s="2">
        <v>54255008</v>
      </c>
      <c r="E10" s="2">
        <v>28068271</v>
      </c>
      <c r="F10" s="2">
        <v>5932508</v>
      </c>
      <c r="G10" s="1">
        <v>299182</v>
      </c>
      <c r="H10" s="2">
        <v>75570</v>
      </c>
      <c r="I10" s="2">
        <v>-511</v>
      </c>
    </row>
    <row r="11" spans="1:15" x14ac:dyDescent="0.4">
      <c r="A11" s="2">
        <v>2021</v>
      </c>
      <c r="B11" s="2" t="s">
        <v>17</v>
      </c>
      <c r="C11" s="2">
        <v>67739876</v>
      </c>
      <c r="D11" s="2">
        <v>37019485</v>
      </c>
      <c r="E11" s="2">
        <v>25198610</v>
      </c>
      <c r="F11" s="2">
        <v>5521781</v>
      </c>
      <c r="G11" s="1">
        <v>317366</v>
      </c>
      <c r="H11" s="2">
        <v>95462</v>
      </c>
      <c r="I11" s="2">
        <v>-389</v>
      </c>
    </row>
    <row r="12" spans="1:15" x14ac:dyDescent="0.4">
      <c r="A12" s="2">
        <v>2021</v>
      </c>
      <c r="B12" s="2" t="s">
        <v>18</v>
      </c>
      <c r="C12" s="2">
        <v>108740071</v>
      </c>
      <c r="D12" s="2">
        <v>46165813</v>
      </c>
      <c r="E12" s="2">
        <v>52909026</v>
      </c>
      <c r="F12" s="2">
        <v>9665232</v>
      </c>
      <c r="G12" s="1">
        <v>510956</v>
      </c>
      <c r="H12" s="2">
        <v>152701</v>
      </c>
      <c r="I12" s="2">
        <v>533</v>
      </c>
    </row>
    <row r="13" spans="1:15" x14ac:dyDescent="0.4">
      <c r="A13" s="2">
        <v>2021</v>
      </c>
      <c r="B13" s="2" t="s">
        <v>19</v>
      </c>
      <c r="C13" s="2">
        <v>110416503</v>
      </c>
      <c r="D13" s="2">
        <v>57517380</v>
      </c>
      <c r="E13" s="2">
        <v>45319869</v>
      </c>
      <c r="F13" s="2">
        <v>7579254</v>
      </c>
      <c r="G13" s="1">
        <v>473307</v>
      </c>
      <c r="H13" s="2">
        <v>132052</v>
      </c>
      <c r="I13" s="2">
        <v>2789</v>
      </c>
    </row>
    <row r="14" spans="1:15" x14ac:dyDescent="0.4">
      <c r="A14" s="2">
        <v>2021</v>
      </c>
      <c r="B14" s="2" t="s">
        <v>20</v>
      </c>
      <c r="C14" s="2">
        <v>95958124</v>
      </c>
      <c r="D14" s="2">
        <v>60695355</v>
      </c>
      <c r="E14" s="2">
        <v>28742860</v>
      </c>
      <c r="F14" s="2">
        <v>6519909</v>
      </c>
      <c r="G14" s="1">
        <v>304819</v>
      </c>
      <c r="H14" s="2">
        <v>89578</v>
      </c>
      <c r="I14" s="2">
        <v>1541</v>
      </c>
    </row>
    <row r="15" spans="1:15" x14ac:dyDescent="0.4">
      <c r="A15" s="2">
        <v>2021</v>
      </c>
      <c r="B15" s="2" t="s">
        <v>21</v>
      </c>
      <c r="C15" s="2">
        <v>148131112</v>
      </c>
      <c r="D15" s="2">
        <v>56944960</v>
      </c>
      <c r="E15" s="2">
        <v>78992624</v>
      </c>
      <c r="F15" s="2">
        <v>12193528</v>
      </c>
      <c r="G15" s="1">
        <v>368905</v>
      </c>
      <c r="H15" s="2">
        <v>119380</v>
      </c>
      <c r="I15" s="2">
        <v>1069</v>
      </c>
    </row>
    <row r="16" spans="1:15" x14ac:dyDescent="0.4">
      <c r="A16" s="2">
        <v>2021</v>
      </c>
      <c r="B16" s="2" t="s">
        <v>22</v>
      </c>
      <c r="C16" s="2">
        <v>83179122</v>
      </c>
      <c r="D16" s="2">
        <v>46183700</v>
      </c>
      <c r="E16" s="2">
        <v>30359568</v>
      </c>
      <c r="F16" s="2">
        <v>6635854</v>
      </c>
      <c r="G16" s="1">
        <v>447302</v>
      </c>
      <c r="H16" s="2">
        <v>151626</v>
      </c>
      <c r="I16" s="2">
        <v>2268</v>
      </c>
    </row>
    <row r="17" spans="1:9" x14ac:dyDescent="0.4">
      <c r="A17" s="2">
        <v>2021</v>
      </c>
      <c r="B17" s="2" t="s">
        <v>23</v>
      </c>
      <c r="C17" s="2">
        <v>125896852</v>
      </c>
      <c r="D17" s="2">
        <v>52107668</v>
      </c>
      <c r="E17" s="2">
        <v>62794479</v>
      </c>
      <c r="F17" s="2">
        <v>10994705</v>
      </c>
      <c r="G17" s="1">
        <v>574315</v>
      </c>
      <c r="H17" s="2">
        <v>204246</v>
      </c>
      <c r="I17" s="2">
        <v>-97</v>
      </c>
    </row>
    <row r="18" spans="1:9" x14ac:dyDescent="0.4">
      <c r="A18" s="2">
        <v>2021</v>
      </c>
      <c r="B18" s="2" t="s">
        <v>24</v>
      </c>
      <c r="C18" s="2">
        <v>123387880</v>
      </c>
      <c r="D18" s="2">
        <v>60237240</v>
      </c>
      <c r="E18" s="2">
        <v>56036771</v>
      </c>
      <c r="F18" s="2">
        <v>7113869</v>
      </c>
      <c r="G18" s="1">
        <v>396754</v>
      </c>
      <c r="H18" s="2">
        <v>144667</v>
      </c>
      <c r="I18" s="2">
        <v>906</v>
      </c>
    </row>
    <row r="19" spans="1:9" x14ac:dyDescent="0.4">
      <c r="A19" s="2">
        <v>2021</v>
      </c>
      <c r="B19" s="2" t="s">
        <v>25</v>
      </c>
      <c r="C19" s="2">
        <v>66752284</v>
      </c>
      <c r="D19" s="2">
        <v>42139004</v>
      </c>
      <c r="E19" s="2">
        <v>19830665</v>
      </c>
      <c r="F19" s="2">
        <v>4782615</v>
      </c>
      <c r="G19" s="1">
        <v>230811</v>
      </c>
      <c r="H19" s="2">
        <v>88945</v>
      </c>
      <c r="I19" s="2">
        <v>1497</v>
      </c>
    </row>
    <row r="20" spans="1:9" x14ac:dyDescent="0.4">
      <c r="A20" s="2">
        <v>2021</v>
      </c>
      <c r="B20" s="2" t="s">
        <v>26</v>
      </c>
      <c r="C20" s="2">
        <v>157499505</v>
      </c>
      <c r="D20" s="2">
        <v>61964048</v>
      </c>
      <c r="E20" s="2">
        <v>81402306</v>
      </c>
      <c r="F20" s="2">
        <v>14133151</v>
      </c>
      <c r="G20" s="1">
        <v>376837</v>
      </c>
      <c r="H20" s="2">
        <v>146625</v>
      </c>
      <c r="I20" s="2">
        <v>3861</v>
      </c>
    </row>
    <row r="21" spans="1:9" x14ac:dyDescent="0.4">
      <c r="A21" s="2">
        <v>2021</v>
      </c>
      <c r="B21" s="2" t="s">
        <v>27</v>
      </c>
      <c r="C21" s="2">
        <v>109377406</v>
      </c>
      <c r="D21" s="2">
        <v>58188663</v>
      </c>
      <c r="E21" s="2">
        <v>45706535</v>
      </c>
      <c r="F21" s="2">
        <v>5482208</v>
      </c>
      <c r="G21" s="1">
        <v>385483</v>
      </c>
      <c r="H21" s="2">
        <v>105722</v>
      </c>
      <c r="I21" s="2">
        <v>653</v>
      </c>
    </row>
    <row r="22" spans="1:9" x14ac:dyDescent="0.4">
      <c r="A22" s="2">
        <v>2021</v>
      </c>
      <c r="B22" s="2" t="s">
        <v>28</v>
      </c>
      <c r="C22" s="2">
        <v>166188364</v>
      </c>
      <c r="D22" s="2">
        <v>81960533</v>
      </c>
      <c r="E22" s="2">
        <v>75428105</v>
      </c>
      <c r="F22" s="2">
        <v>8799726</v>
      </c>
      <c r="G22" s="1">
        <v>485699</v>
      </c>
      <c r="H22" s="2">
        <v>118943</v>
      </c>
      <c r="I22" s="2">
        <v>-509</v>
      </c>
    </row>
    <row r="23" spans="1:9" x14ac:dyDescent="0.4">
      <c r="A23" s="2">
        <v>2021</v>
      </c>
      <c r="B23" s="2" t="s">
        <v>29</v>
      </c>
      <c r="C23" s="2">
        <v>191318304</v>
      </c>
      <c r="D23" s="2">
        <v>72872287</v>
      </c>
      <c r="E23" s="2">
        <v>104225039</v>
      </c>
      <c r="F23" s="2">
        <v>14220978</v>
      </c>
      <c r="G23" s="1">
        <v>412279</v>
      </c>
      <c r="H23" s="2">
        <v>178778</v>
      </c>
      <c r="I23" s="2">
        <v>-2235</v>
      </c>
    </row>
    <row r="24" spans="1:9" x14ac:dyDescent="0.4">
      <c r="A24" s="2">
        <v>2021</v>
      </c>
      <c r="B24" s="2" t="s">
        <v>30</v>
      </c>
      <c r="C24" s="2">
        <v>263148318</v>
      </c>
      <c r="D24" s="2">
        <v>93477395</v>
      </c>
      <c r="E24" s="2">
        <v>139523472</v>
      </c>
      <c r="F24" s="2">
        <v>30147451</v>
      </c>
      <c r="G24" s="1">
        <v>533042</v>
      </c>
      <c r="H24" s="2">
        <v>235796</v>
      </c>
      <c r="I24" s="2">
        <v>602</v>
      </c>
    </row>
    <row r="25" spans="1:9" x14ac:dyDescent="0.4">
      <c r="A25" s="2">
        <v>2021</v>
      </c>
      <c r="B25" s="2" t="s">
        <v>31</v>
      </c>
      <c r="C25" s="2">
        <v>166423657</v>
      </c>
      <c r="D25" s="2">
        <v>60517668</v>
      </c>
      <c r="E25" s="2">
        <v>89719740</v>
      </c>
      <c r="F25" s="2">
        <v>16186249</v>
      </c>
      <c r="G25" s="1">
        <v>658338</v>
      </c>
      <c r="H25" s="2">
        <v>245565</v>
      </c>
      <c r="I25" s="2">
        <v>4591</v>
      </c>
    </row>
    <row r="26" spans="1:9" x14ac:dyDescent="0.4">
      <c r="A26" s="2">
        <v>2021</v>
      </c>
      <c r="B26" s="2" t="s">
        <v>32</v>
      </c>
      <c r="C26" s="2">
        <v>87515237</v>
      </c>
      <c r="D26" s="2">
        <v>32292610</v>
      </c>
      <c r="E26" s="2">
        <v>45671791</v>
      </c>
      <c r="F26" s="2">
        <v>9550836</v>
      </c>
      <c r="G26" s="1">
        <v>462664</v>
      </c>
      <c r="H26" s="2">
        <v>152003</v>
      </c>
      <c r="I26" s="2">
        <v>6877</v>
      </c>
    </row>
    <row r="27" spans="1:9" x14ac:dyDescent="0.4">
      <c r="A27" s="2">
        <v>2022</v>
      </c>
      <c r="B27" s="2" t="s">
        <v>8</v>
      </c>
      <c r="C27" s="2">
        <v>164935619</v>
      </c>
      <c r="D27" s="2">
        <v>67454849</v>
      </c>
      <c r="E27" s="2">
        <v>89319867</v>
      </c>
      <c r="F27" s="2">
        <v>8160903</v>
      </c>
      <c r="G27" s="1">
        <v>141379</v>
      </c>
      <c r="H27" s="2">
        <v>50832</v>
      </c>
      <c r="I27" s="2">
        <v>783</v>
      </c>
    </row>
    <row r="28" spans="1:9" x14ac:dyDescent="0.4">
      <c r="A28" s="2">
        <v>2022</v>
      </c>
      <c r="B28" s="2" t="s">
        <v>9</v>
      </c>
      <c r="C28" s="2">
        <v>176154824</v>
      </c>
      <c r="D28" s="2">
        <v>45724150</v>
      </c>
      <c r="E28" s="2">
        <v>120765784</v>
      </c>
      <c r="F28" s="2">
        <v>9664890</v>
      </c>
      <c r="G28" s="1">
        <v>120437</v>
      </c>
      <c r="H28" s="2">
        <v>60081</v>
      </c>
      <c r="I28" s="2">
        <v>6974</v>
      </c>
    </row>
    <row r="29" spans="1:9" x14ac:dyDescent="0.4">
      <c r="A29" s="2">
        <v>2022</v>
      </c>
      <c r="B29" s="2" t="s">
        <v>10</v>
      </c>
      <c r="C29" s="2">
        <v>100875869</v>
      </c>
      <c r="D29" s="2">
        <v>50537978</v>
      </c>
      <c r="E29" s="2">
        <v>39369572</v>
      </c>
      <c r="F29" s="2">
        <v>10968319</v>
      </c>
      <c r="G29" s="1">
        <v>218650</v>
      </c>
      <c r="H29" s="2">
        <v>79420</v>
      </c>
      <c r="I29" s="2">
        <v>-66</v>
      </c>
    </row>
    <row r="30" spans="1:9" x14ac:dyDescent="0.4">
      <c r="A30" s="2">
        <v>2022</v>
      </c>
      <c r="B30" s="2" t="s">
        <v>11</v>
      </c>
      <c r="C30" s="2">
        <v>106165626</v>
      </c>
      <c r="D30" s="2">
        <v>34157923</v>
      </c>
      <c r="E30" s="2">
        <v>64269063</v>
      </c>
      <c r="F30" s="2">
        <v>7738640</v>
      </c>
      <c r="G30" s="1">
        <v>281000</v>
      </c>
      <c r="H30" s="2">
        <v>106035</v>
      </c>
      <c r="I30" s="2">
        <v>-400</v>
      </c>
    </row>
    <row r="31" spans="1:9" x14ac:dyDescent="0.4">
      <c r="A31" s="2">
        <v>2022</v>
      </c>
      <c r="B31" s="2" t="s">
        <v>12</v>
      </c>
      <c r="C31" s="2">
        <v>107246102</v>
      </c>
      <c r="D31" s="2">
        <v>33234902</v>
      </c>
      <c r="E31" s="2">
        <v>64860255</v>
      </c>
      <c r="F31" s="2">
        <v>9150945</v>
      </c>
      <c r="G31" s="1">
        <v>337416</v>
      </c>
      <c r="H31" s="2">
        <v>99126</v>
      </c>
      <c r="I31" s="2">
        <v>468</v>
      </c>
    </row>
    <row r="32" spans="1:9" x14ac:dyDescent="0.4">
      <c r="A32" s="2">
        <v>2022</v>
      </c>
      <c r="B32" s="2" t="s">
        <v>13</v>
      </c>
      <c r="C32" s="2">
        <v>106610793</v>
      </c>
      <c r="D32" s="2">
        <v>63284045</v>
      </c>
      <c r="E32" s="2">
        <v>34854710</v>
      </c>
      <c r="F32" s="2">
        <v>8472038</v>
      </c>
      <c r="G32" s="1">
        <v>336644</v>
      </c>
      <c r="H32" s="2">
        <v>98574</v>
      </c>
      <c r="I32" s="2">
        <v>404</v>
      </c>
    </row>
    <row r="33" spans="1:9" x14ac:dyDescent="0.4">
      <c r="A33" s="2">
        <v>2022</v>
      </c>
      <c r="B33" s="2" t="s">
        <v>14</v>
      </c>
      <c r="C33" s="2">
        <v>85919590</v>
      </c>
      <c r="D33" s="2">
        <v>46033124</v>
      </c>
      <c r="E33" s="2">
        <v>31943438</v>
      </c>
      <c r="F33" s="2">
        <v>7943028</v>
      </c>
      <c r="G33" s="1">
        <v>385318</v>
      </c>
      <c r="H33" s="2">
        <v>114961</v>
      </c>
      <c r="I33" s="2">
        <v>724</v>
      </c>
    </row>
    <row r="34" spans="1:9" x14ac:dyDescent="0.4">
      <c r="A34" s="2">
        <v>2022</v>
      </c>
      <c r="B34" s="2" t="s">
        <v>15</v>
      </c>
      <c r="C34" s="2">
        <v>126169567</v>
      </c>
      <c r="D34" s="2">
        <v>76331592</v>
      </c>
      <c r="E34" s="2">
        <v>43239120</v>
      </c>
      <c r="F34" s="2">
        <v>6598855</v>
      </c>
      <c r="G34" s="1">
        <v>430397</v>
      </c>
      <c r="H34" s="2">
        <v>122016</v>
      </c>
      <c r="I34" s="2">
        <v>1107</v>
      </c>
    </row>
    <row r="35" spans="1:9" x14ac:dyDescent="0.4">
      <c r="A35" s="2">
        <v>2022</v>
      </c>
      <c r="B35" s="2" t="s">
        <v>16</v>
      </c>
      <c r="C35" s="2">
        <v>94283492</v>
      </c>
      <c r="D35" s="2">
        <v>57994006</v>
      </c>
      <c r="E35" s="2">
        <v>30445153</v>
      </c>
      <c r="F35" s="2">
        <v>5844333</v>
      </c>
      <c r="G35" s="1">
        <v>293660</v>
      </c>
      <c r="H35" s="2">
        <v>75148</v>
      </c>
      <c r="I35" s="2">
        <v>-422</v>
      </c>
    </row>
    <row r="36" spans="1:9" x14ac:dyDescent="0.4">
      <c r="A36" s="2">
        <v>2022</v>
      </c>
      <c r="B36" s="2" t="s">
        <v>17</v>
      </c>
      <c r="C36" s="2">
        <v>71242195</v>
      </c>
      <c r="D36" s="2">
        <v>38900295</v>
      </c>
      <c r="E36" s="2">
        <v>26987249</v>
      </c>
      <c r="F36" s="2">
        <v>5354651</v>
      </c>
      <c r="G36" s="1">
        <v>311694</v>
      </c>
      <c r="H36" s="2">
        <v>95573</v>
      </c>
      <c r="I36" s="2">
        <v>111</v>
      </c>
    </row>
    <row r="37" spans="1:9" x14ac:dyDescent="0.4">
      <c r="A37" s="2">
        <v>2022</v>
      </c>
      <c r="B37" s="2" t="s">
        <v>18</v>
      </c>
      <c r="C37" s="2">
        <v>117486557</v>
      </c>
      <c r="D37" s="2">
        <v>50579231</v>
      </c>
      <c r="E37" s="2">
        <v>57264326</v>
      </c>
      <c r="F37" s="2">
        <v>9643000</v>
      </c>
      <c r="G37" s="1">
        <v>503734</v>
      </c>
      <c r="H37" s="2">
        <v>152305</v>
      </c>
      <c r="I37" s="2">
        <v>-396</v>
      </c>
    </row>
    <row r="38" spans="1:9" x14ac:dyDescent="0.4">
      <c r="A38" s="2">
        <v>2022</v>
      </c>
      <c r="B38" s="2" t="s">
        <v>19</v>
      </c>
      <c r="C38" s="2">
        <v>117881189</v>
      </c>
      <c r="D38" s="2">
        <v>61790167</v>
      </c>
      <c r="E38" s="2">
        <v>48938669</v>
      </c>
      <c r="F38" s="2">
        <v>7152353</v>
      </c>
      <c r="G38" s="1">
        <v>466746</v>
      </c>
      <c r="H38" s="2">
        <v>133291</v>
      </c>
      <c r="I38" s="2">
        <v>1239</v>
      </c>
    </row>
    <row r="39" spans="1:9" x14ac:dyDescent="0.4">
      <c r="A39" s="2">
        <v>2022</v>
      </c>
      <c r="B39" s="2" t="s">
        <v>20</v>
      </c>
      <c r="C39" s="2">
        <v>107163842</v>
      </c>
      <c r="D39" s="2">
        <v>68059904</v>
      </c>
      <c r="E39" s="2">
        <v>32850877</v>
      </c>
      <c r="F39" s="2">
        <v>6253061</v>
      </c>
      <c r="G39" s="1">
        <v>306337</v>
      </c>
      <c r="H39" s="2">
        <v>89435</v>
      </c>
      <c r="I39" s="2">
        <v>-143</v>
      </c>
    </row>
    <row r="40" spans="1:9" x14ac:dyDescent="0.4">
      <c r="A40" s="2">
        <v>2022</v>
      </c>
      <c r="B40" s="2" t="s">
        <v>21</v>
      </c>
      <c r="C40" s="2">
        <v>169324041</v>
      </c>
      <c r="D40" s="2">
        <v>64510577</v>
      </c>
      <c r="E40" s="2">
        <v>91948749</v>
      </c>
      <c r="F40" s="2">
        <v>12864715</v>
      </c>
      <c r="G40" s="1">
        <v>364638</v>
      </c>
      <c r="H40" s="2">
        <v>121250</v>
      </c>
      <c r="I40" s="2">
        <v>1870</v>
      </c>
    </row>
    <row r="41" spans="1:9" x14ac:dyDescent="0.4">
      <c r="A41" s="2">
        <v>2022</v>
      </c>
      <c r="B41" s="2" t="s">
        <v>22</v>
      </c>
      <c r="C41" s="2">
        <v>89458448</v>
      </c>
      <c r="D41" s="2">
        <v>49938837</v>
      </c>
      <c r="E41" s="2">
        <v>33236941</v>
      </c>
      <c r="F41" s="2">
        <v>6282670</v>
      </c>
      <c r="G41" s="1">
        <v>440881</v>
      </c>
      <c r="H41" s="2">
        <v>151251</v>
      </c>
      <c r="I41" s="2">
        <v>-375</v>
      </c>
    </row>
    <row r="42" spans="1:9" x14ac:dyDescent="0.4">
      <c r="A42" s="2">
        <v>2022</v>
      </c>
      <c r="B42" s="2" t="s">
        <v>23</v>
      </c>
      <c r="C42" s="2">
        <v>136615826</v>
      </c>
      <c r="D42" s="2">
        <v>55871596</v>
      </c>
      <c r="E42" s="2">
        <v>69470943</v>
      </c>
      <c r="F42" s="2">
        <v>11273287</v>
      </c>
      <c r="G42" s="1">
        <v>569166</v>
      </c>
      <c r="H42" s="2">
        <v>206352</v>
      </c>
      <c r="I42" s="2">
        <v>2106</v>
      </c>
    </row>
    <row r="43" spans="1:9" x14ac:dyDescent="0.4">
      <c r="A43" s="2">
        <v>2022</v>
      </c>
      <c r="B43" s="2" t="s">
        <v>24</v>
      </c>
      <c r="C43" s="2">
        <v>127504110</v>
      </c>
      <c r="D43" s="2">
        <v>61042525</v>
      </c>
      <c r="E43" s="2">
        <v>59580422</v>
      </c>
      <c r="F43" s="2">
        <v>6881163</v>
      </c>
      <c r="G43" s="1">
        <v>395315</v>
      </c>
      <c r="H43" s="2">
        <v>146040</v>
      </c>
      <c r="I43" s="2">
        <v>1373</v>
      </c>
    </row>
    <row r="44" spans="1:9" x14ac:dyDescent="0.4">
      <c r="A44" s="2">
        <v>2022</v>
      </c>
      <c r="B44" s="2" t="s">
        <v>25</v>
      </c>
      <c r="C44" s="2">
        <v>70056965</v>
      </c>
      <c r="D44" s="2">
        <v>45064854</v>
      </c>
      <c r="E44" s="2">
        <v>20465940</v>
      </c>
      <c r="F44" s="2">
        <v>4526171</v>
      </c>
      <c r="G44" s="1">
        <v>229642</v>
      </c>
      <c r="H44" s="2">
        <v>90508</v>
      </c>
      <c r="I44" s="2">
        <v>1563</v>
      </c>
    </row>
    <row r="45" spans="1:9" x14ac:dyDescent="0.4">
      <c r="A45" s="2">
        <v>2022</v>
      </c>
      <c r="B45" s="2" t="s">
        <v>26</v>
      </c>
      <c r="C45" s="2">
        <v>174830984</v>
      </c>
      <c r="D45" s="2">
        <v>69289958</v>
      </c>
      <c r="E45" s="2">
        <v>91890433</v>
      </c>
      <c r="F45" s="2">
        <v>13650593</v>
      </c>
      <c r="G45" s="1">
        <v>375675</v>
      </c>
      <c r="H45" s="2">
        <v>145946</v>
      </c>
      <c r="I45" s="2">
        <v>-679</v>
      </c>
    </row>
    <row r="46" spans="1:9" x14ac:dyDescent="0.4">
      <c r="A46" s="2">
        <v>2022</v>
      </c>
      <c r="B46" s="2" t="s">
        <v>27</v>
      </c>
      <c r="C46" s="2">
        <v>119187672</v>
      </c>
      <c r="D46" s="2">
        <v>62588194</v>
      </c>
      <c r="E46" s="2">
        <v>51528199</v>
      </c>
      <c r="F46" s="2">
        <v>5071279</v>
      </c>
      <c r="G46" s="1">
        <v>380596</v>
      </c>
      <c r="H46" s="2">
        <v>106263</v>
      </c>
      <c r="I46" s="2">
        <v>541</v>
      </c>
    </row>
    <row r="47" spans="1:9" x14ac:dyDescent="0.4">
      <c r="A47" s="2">
        <v>2022</v>
      </c>
      <c r="B47" s="2" t="s">
        <v>28</v>
      </c>
      <c r="C47" s="2">
        <v>183319578</v>
      </c>
      <c r="D47" s="2">
        <v>90076319</v>
      </c>
      <c r="E47" s="2">
        <v>84916033</v>
      </c>
      <c r="F47" s="2">
        <v>8327226</v>
      </c>
      <c r="G47" s="1">
        <v>486752</v>
      </c>
      <c r="H47" s="2">
        <v>118148</v>
      </c>
      <c r="I47" s="2">
        <v>-795</v>
      </c>
    </row>
    <row r="48" spans="1:9" x14ac:dyDescent="0.4">
      <c r="A48" s="2">
        <v>2022</v>
      </c>
      <c r="B48" s="2" t="s">
        <v>29</v>
      </c>
      <c r="C48" s="2">
        <v>209014453</v>
      </c>
      <c r="D48" s="2">
        <v>78195534</v>
      </c>
      <c r="E48" s="2">
        <v>117324071</v>
      </c>
      <c r="F48" s="2">
        <v>13494848</v>
      </c>
      <c r="G48" s="1">
        <v>404325</v>
      </c>
      <c r="H48" s="2">
        <v>176639</v>
      </c>
      <c r="I48" s="2">
        <v>-2139</v>
      </c>
    </row>
    <row r="49" spans="1:9" x14ac:dyDescent="0.4">
      <c r="A49" s="2">
        <v>2022</v>
      </c>
      <c r="B49" s="2" t="s">
        <v>30</v>
      </c>
      <c r="C49" s="2">
        <v>293965811</v>
      </c>
      <c r="D49" s="2">
        <v>103379977</v>
      </c>
      <c r="E49" s="2">
        <v>161272441</v>
      </c>
      <c r="F49" s="2">
        <v>29313393</v>
      </c>
      <c r="G49" s="1">
        <v>529102</v>
      </c>
      <c r="H49" s="2">
        <v>240480</v>
      </c>
      <c r="I49" s="2">
        <v>4684</v>
      </c>
    </row>
    <row r="50" spans="1:9" x14ac:dyDescent="0.4">
      <c r="A50" s="2">
        <v>2022</v>
      </c>
      <c r="B50" s="2" t="s">
        <v>31</v>
      </c>
      <c r="C50" s="2">
        <v>187955776</v>
      </c>
      <c r="D50" s="2">
        <v>67415209</v>
      </c>
      <c r="E50" s="2">
        <v>104523594</v>
      </c>
      <c r="F50" s="2">
        <v>16016973</v>
      </c>
      <c r="G50" s="1">
        <v>658801</v>
      </c>
      <c r="H50" s="2">
        <v>248750</v>
      </c>
      <c r="I50" s="2">
        <v>3185</v>
      </c>
    </row>
    <row r="51" spans="1:9" x14ac:dyDescent="0.4">
      <c r="A51" s="2">
        <v>2022</v>
      </c>
      <c r="B51" s="2" t="s">
        <v>32</v>
      </c>
      <c r="C51" s="2">
        <v>93924693</v>
      </c>
      <c r="D51" s="2">
        <v>35194304</v>
      </c>
      <c r="E51" s="2">
        <v>49416957</v>
      </c>
      <c r="F51" s="2">
        <v>9313432</v>
      </c>
      <c r="G51" s="1">
        <v>460067</v>
      </c>
      <c r="H51" s="2">
        <v>151875</v>
      </c>
      <c r="I51" s="2">
        <v>-128</v>
      </c>
    </row>
    <row r="52" spans="1:9" x14ac:dyDescent="0.4">
      <c r="A52" s="2">
        <v>2023</v>
      </c>
      <c r="B52" s="2" t="s">
        <v>8</v>
      </c>
      <c r="C52" s="2">
        <v>178567702</v>
      </c>
      <c r="D52" s="2">
        <v>70681425</v>
      </c>
      <c r="E52" s="2">
        <v>100748476</v>
      </c>
      <c r="F52" s="2">
        <v>7137801</v>
      </c>
      <c r="G52" s="1">
        <v>139417</v>
      </c>
      <c r="H52" s="2">
        <v>51000</v>
      </c>
      <c r="I52" s="2">
        <v>168</v>
      </c>
    </row>
    <row r="53" spans="1:9" x14ac:dyDescent="0.4">
      <c r="A53" s="2">
        <v>2023</v>
      </c>
      <c r="B53" s="2" t="s">
        <v>9</v>
      </c>
      <c r="C53" s="2">
        <v>202324327</v>
      </c>
      <c r="D53" s="2">
        <v>48721660</v>
      </c>
      <c r="E53" s="2">
        <v>144615589</v>
      </c>
      <c r="F53" s="2">
        <v>8987078</v>
      </c>
      <c r="G53" s="1">
        <v>121312</v>
      </c>
      <c r="H53" s="2">
        <v>57666</v>
      </c>
      <c r="I53" s="2">
        <v>-2415</v>
      </c>
    </row>
    <row r="54" spans="1:9" x14ac:dyDescent="0.4">
      <c r="A54" s="2">
        <v>2023</v>
      </c>
      <c r="B54" s="2" t="s">
        <v>10</v>
      </c>
      <c r="C54" s="2">
        <v>107760931</v>
      </c>
      <c r="D54" s="2">
        <v>54008803</v>
      </c>
      <c r="E54" s="2">
        <v>44222766</v>
      </c>
      <c r="F54" s="2">
        <v>9529362</v>
      </c>
      <c r="G54" s="1">
        <v>213151</v>
      </c>
      <c r="H54" s="2">
        <v>75436</v>
      </c>
      <c r="I54" s="2">
        <v>-3984</v>
      </c>
    </row>
    <row r="55" spans="1:9" x14ac:dyDescent="0.4">
      <c r="A55" s="2">
        <v>2023</v>
      </c>
      <c r="B55" s="2" t="s">
        <v>11</v>
      </c>
      <c r="C55" s="2">
        <v>111717923</v>
      </c>
      <c r="D55" s="2">
        <v>35237767</v>
      </c>
      <c r="E55" s="2">
        <v>70179191</v>
      </c>
      <c r="F55" s="2">
        <v>6300965</v>
      </c>
      <c r="G55" s="1">
        <v>277361</v>
      </c>
      <c r="H55" s="2">
        <v>104782</v>
      </c>
      <c r="I55" s="2">
        <v>-1253</v>
      </c>
    </row>
    <row r="56" spans="1:9" x14ac:dyDescent="0.4">
      <c r="A56" s="2">
        <v>2023</v>
      </c>
      <c r="B56" s="2" t="s">
        <v>12</v>
      </c>
      <c r="C56" s="2">
        <v>111528164</v>
      </c>
      <c r="D56" s="2">
        <v>34809718</v>
      </c>
      <c r="E56" s="2">
        <v>69506034</v>
      </c>
      <c r="F56" s="2">
        <v>7212412</v>
      </c>
      <c r="G56" s="1">
        <v>335554</v>
      </c>
      <c r="H56" s="2">
        <v>97936</v>
      </c>
      <c r="I56" s="2">
        <v>-1190</v>
      </c>
    </row>
    <row r="57" spans="1:9" x14ac:dyDescent="0.4">
      <c r="A57" s="2">
        <v>2023</v>
      </c>
      <c r="B57" s="2" t="s">
        <v>13</v>
      </c>
      <c r="C57" s="2">
        <v>111611079</v>
      </c>
      <c r="D57" s="2">
        <v>67437050</v>
      </c>
      <c r="E57" s="2">
        <v>37821239</v>
      </c>
      <c r="F57" s="2">
        <v>6352790</v>
      </c>
      <c r="G57" s="1">
        <v>341149</v>
      </c>
      <c r="H57" s="2">
        <v>99947</v>
      </c>
      <c r="I57" s="2">
        <v>1373</v>
      </c>
    </row>
    <row r="58" spans="1:9" x14ac:dyDescent="0.4">
      <c r="A58" s="2">
        <v>2023</v>
      </c>
      <c r="B58" s="2" t="s">
        <v>14</v>
      </c>
      <c r="C58" s="2">
        <v>88060625</v>
      </c>
      <c r="D58" s="2">
        <v>48356010</v>
      </c>
      <c r="E58" s="2">
        <v>33835684</v>
      </c>
      <c r="F58" s="2">
        <v>5868931</v>
      </c>
      <c r="G58" s="1">
        <v>382155</v>
      </c>
      <c r="H58" s="2">
        <v>116523</v>
      </c>
      <c r="I58" s="2">
        <v>1562</v>
      </c>
    </row>
    <row r="59" spans="1:9" x14ac:dyDescent="0.4">
      <c r="A59" s="2">
        <v>2023</v>
      </c>
      <c r="B59" s="2" t="s">
        <v>15</v>
      </c>
      <c r="C59" s="2">
        <v>131105290</v>
      </c>
      <c r="D59" s="2">
        <v>79361062</v>
      </c>
      <c r="E59" s="2">
        <v>46809536</v>
      </c>
      <c r="F59" s="2">
        <v>4934692</v>
      </c>
      <c r="G59" s="1">
        <v>425602</v>
      </c>
      <c r="H59" s="2">
        <v>122811</v>
      </c>
      <c r="I59" s="2">
        <v>795</v>
      </c>
    </row>
    <row r="60" spans="1:9" x14ac:dyDescent="0.4">
      <c r="A60" s="2">
        <v>2023</v>
      </c>
      <c r="B60" s="2" t="s">
        <v>16</v>
      </c>
      <c r="C60" s="2">
        <v>95421485</v>
      </c>
      <c r="D60" s="2">
        <v>59000850</v>
      </c>
      <c r="E60" s="2">
        <v>32266378</v>
      </c>
      <c r="F60" s="2">
        <v>4154257</v>
      </c>
      <c r="G60" s="1">
        <v>288113</v>
      </c>
      <c r="H60" s="2">
        <v>75166</v>
      </c>
      <c r="I60" s="2">
        <v>18</v>
      </c>
    </row>
    <row r="61" spans="1:9" x14ac:dyDescent="0.4">
      <c r="A61" s="2">
        <v>2023</v>
      </c>
      <c r="B61" s="2" t="s">
        <v>17</v>
      </c>
      <c r="C61" s="2">
        <v>71661572</v>
      </c>
      <c r="D61" s="2">
        <v>39783107</v>
      </c>
      <c r="E61" s="2">
        <v>28321911</v>
      </c>
      <c r="F61" s="2">
        <v>3556554</v>
      </c>
      <c r="G61" s="1">
        <v>306948</v>
      </c>
      <c r="H61" s="2">
        <v>95623</v>
      </c>
      <c r="I61" s="2">
        <v>50</v>
      </c>
    </row>
    <row r="62" spans="1:9" x14ac:dyDescent="0.4">
      <c r="A62" s="2">
        <v>2023</v>
      </c>
      <c r="B62" s="2" t="s">
        <v>18</v>
      </c>
      <c r="C62" s="2">
        <v>119823856</v>
      </c>
      <c r="D62" s="2">
        <v>51726460</v>
      </c>
      <c r="E62" s="2">
        <v>61347921</v>
      </c>
      <c r="F62" s="2">
        <v>6749475</v>
      </c>
      <c r="G62" s="1">
        <v>498213</v>
      </c>
      <c r="H62" s="2">
        <v>152633</v>
      </c>
      <c r="I62" s="2">
        <v>328</v>
      </c>
    </row>
    <row r="63" spans="1:9" x14ac:dyDescent="0.4">
      <c r="A63" s="2">
        <v>2023</v>
      </c>
      <c r="B63" s="2" t="s">
        <v>19</v>
      </c>
      <c r="C63" s="2">
        <v>120374400</v>
      </c>
      <c r="D63" s="2">
        <v>63338467</v>
      </c>
      <c r="E63" s="2">
        <v>51822570</v>
      </c>
      <c r="F63" s="2">
        <v>5213363</v>
      </c>
      <c r="G63" s="1">
        <v>466770</v>
      </c>
      <c r="H63" s="2">
        <v>133469</v>
      </c>
      <c r="I63" s="2">
        <v>178</v>
      </c>
    </row>
    <row r="64" spans="1:9" x14ac:dyDescent="0.4">
      <c r="A64" s="2">
        <v>2023</v>
      </c>
      <c r="B64" s="2" t="s">
        <v>20</v>
      </c>
      <c r="C64" s="2">
        <v>113855153</v>
      </c>
      <c r="D64" s="2">
        <v>72292718</v>
      </c>
      <c r="E64" s="2">
        <v>36582300</v>
      </c>
      <c r="F64" s="2">
        <v>4980135</v>
      </c>
      <c r="G64" s="1">
        <v>306231</v>
      </c>
      <c r="H64" s="2">
        <v>91862</v>
      </c>
      <c r="I64" s="2">
        <v>2427</v>
      </c>
    </row>
    <row r="65" spans="1:9" x14ac:dyDescent="0.4">
      <c r="A65" s="2">
        <v>2023</v>
      </c>
      <c r="B65" s="2" t="s">
        <v>21</v>
      </c>
      <c r="C65" s="2">
        <v>182982275</v>
      </c>
      <c r="D65" s="2">
        <v>68374401</v>
      </c>
      <c r="E65" s="2">
        <v>103281308</v>
      </c>
      <c r="F65" s="2">
        <v>11326566</v>
      </c>
      <c r="G65" s="1">
        <v>363697</v>
      </c>
      <c r="H65" s="2">
        <v>122415</v>
      </c>
      <c r="I65" s="2">
        <v>1165</v>
      </c>
    </row>
    <row r="66" spans="1:9" x14ac:dyDescent="0.4">
      <c r="A66" s="2">
        <v>2023</v>
      </c>
      <c r="B66" s="2" t="s">
        <v>22</v>
      </c>
      <c r="C66" s="2">
        <v>91670267</v>
      </c>
      <c r="D66" s="2">
        <v>51701808</v>
      </c>
      <c r="E66" s="2">
        <v>35246960</v>
      </c>
      <c r="F66" s="2">
        <v>4721499</v>
      </c>
      <c r="G66" s="1">
        <v>436028</v>
      </c>
      <c r="H66" s="2">
        <v>151668</v>
      </c>
      <c r="I66" s="2">
        <v>417</v>
      </c>
    </row>
    <row r="67" spans="1:9" x14ac:dyDescent="0.4">
      <c r="A67" s="2">
        <v>2023</v>
      </c>
      <c r="B67" s="2" t="s">
        <v>23</v>
      </c>
      <c r="C67" s="2">
        <v>141725103</v>
      </c>
      <c r="D67" s="2">
        <v>57398643</v>
      </c>
      <c r="E67" s="2">
        <v>75470439</v>
      </c>
      <c r="F67" s="2">
        <v>8856021</v>
      </c>
      <c r="G67" s="1">
        <v>563058</v>
      </c>
      <c r="H67" s="2">
        <v>206104</v>
      </c>
      <c r="I67" s="2">
        <v>-248</v>
      </c>
    </row>
    <row r="68" spans="1:9" x14ac:dyDescent="0.4">
      <c r="A68" s="2">
        <v>2023</v>
      </c>
      <c r="B68" s="2" t="s">
        <v>24</v>
      </c>
      <c r="C68" s="2">
        <v>131422494</v>
      </c>
      <c r="D68" s="2">
        <v>62850315</v>
      </c>
      <c r="E68" s="2">
        <v>63065182</v>
      </c>
      <c r="F68" s="2">
        <v>5506997</v>
      </c>
      <c r="G68" s="1">
        <v>392405</v>
      </c>
      <c r="H68" s="2">
        <v>148719</v>
      </c>
      <c r="I68" s="2">
        <v>2679</v>
      </c>
    </row>
    <row r="69" spans="1:9" x14ac:dyDescent="0.4">
      <c r="A69" s="2">
        <v>2023</v>
      </c>
      <c r="B69" s="2" t="s">
        <v>25</v>
      </c>
      <c r="C69" s="2">
        <v>71105776</v>
      </c>
      <c r="D69" s="2">
        <v>46171676</v>
      </c>
      <c r="E69" s="2">
        <v>21372019</v>
      </c>
      <c r="F69" s="2">
        <v>3562081</v>
      </c>
      <c r="G69" s="1">
        <v>227481</v>
      </c>
      <c r="H69" s="2">
        <v>92223</v>
      </c>
      <c r="I69" s="2">
        <v>1715</v>
      </c>
    </row>
    <row r="70" spans="1:9" x14ac:dyDescent="0.4">
      <c r="A70" s="2">
        <v>2023</v>
      </c>
      <c r="B70" s="2" t="s">
        <v>26</v>
      </c>
      <c r="C70" s="2">
        <v>184031098</v>
      </c>
      <c r="D70" s="2">
        <v>72387873</v>
      </c>
      <c r="E70" s="2">
        <v>100244057</v>
      </c>
      <c r="F70" s="2">
        <v>11399168</v>
      </c>
      <c r="G70" s="1">
        <v>374794</v>
      </c>
      <c r="H70" s="2">
        <v>144662</v>
      </c>
      <c r="I70" s="2">
        <v>-1284</v>
      </c>
    </row>
    <row r="71" spans="1:9" x14ac:dyDescent="0.4">
      <c r="A71" s="2">
        <v>2023</v>
      </c>
      <c r="B71" s="2" t="s">
        <v>27</v>
      </c>
      <c r="C71" s="2">
        <v>122261047</v>
      </c>
      <c r="D71" s="2">
        <v>62446828</v>
      </c>
      <c r="E71" s="2">
        <v>55771179</v>
      </c>
      <c r="F71" s="2">
        <v>4043040</v>
      </c>
      <c r="G71" s="1">
        <v>378769</v>
      </c>
      <c r="H71" s="2">
        <v>106150</v>
      </c>
      <c r="I71" s="2">
        <v>-113</v>
      </c>
    </row>
    <row r="72" spans="1:9" x14ac:dyDescent="0.4">
      <c r="A72" s="2">
        <v>2023</v>
      </c>
      <c r="B72" s="2" t="s">
        <v>28</v>
      </c>
      <c r="C72" s="2">
        <v>186640714</v>
      </c>
      <c r="D72" s="2">
        <v>89284855</v>
      </c>
      <c r="E72" s="2">
        <v>90767121</v>
      </c>
      <c r="F72" s="2">
        <v>6588738</v>
      </c>
      <c r="G72" s="1">
        <v>481956</v>
      </c>
      <c r="H72" s="2">
        <v>118886</v>
      </c>
      <c r="I72" s="2">
        <v>738</v>
      </c>
    </row>
    <row r="73" spans="1:9" x14ac:dyDescent="0.4">
      <c r="A73" s="2">
        <v>2023</v>
      </c>
      <c r="B73" s="2" t="s">
        <v>29</v>
      </c>
      <c r="C73" s="2">
        <v>217494174</v>
      </c>
      <c r="D73" s="2">
        <v>78646999</v>
      </c>
      <c r="E73" s="2">
        <v>127350104</v>
      </c>
      <c r="F73" s="2">
        <v>11497071</v>
      </c>
      <c r="G73" s="1">
        <v>407664</v>
      </c>
      <c r="H73" s="2">
        <v>176137</v>
      </c>
      <c r="I73" s="2">
        <v>-502</v>
      </c>
    </row>
    <row r="74" spans="1:9" x14ac:dyDescent="0.4">
      <c r="A74" s="2">
        <v>2023</v>
      </c>
      <c r="B74" s="2" t="s">
        <v>30</v>
      </c>
      <c r="C74" s="2">
        <v>306070238</v>
      </c>
      <c r="D74" s="2">
        <v>104997484</v>
      </c>
      <c r="E74" s="2">
        <v>175606259</v>
      </c>
      <c r="F74" s="2">
        <v>25466495</v>
      </c>
      <c r="G74" s="1">
        <v>544873</v>
      </c>
      <c r="H74" s="2">
        <v>250445</v>
      </c>
      <c r="I74" s="2">
        <v>9965</v>
      </c>
    </row>
    <row r="75" spans="1:9" x14ac:dyDescent="0.4">
      <c r="A75" s="2">
        <v>2023</v>
      </c>
      <c r="B75" s="2" t="s">
        <v>31</v>
      </c>
      <c r="C75" s="2">
        <v>197679387</v>
      </c>
      <c r="D75" s="2">
        <v>69881907</v>
      </c>
      <c r="E75" s="2">
        <v>115250643</v>
      </c>
      <c r="F75" s="2">
        <v>12546837</v>
      </c>
      <c r="G75" s="1">
        <v>654166</v>
      </c>
      <c r="H75" s="2">
        <v>245597</v>
      </c>
      <c r="I75" s="2">
        <v>-3153</v>
      </c>
    </row>
    <row r="76" spans="1:9" x14ac:dyDescent="0.4">
      <c r="A76" s="2">
        <v>2023</v>
      </c>
      <c r="B76" s="2" t="s">
        <v>32</v>
      </c>
      <c r="C76" s="2">
        <v>94011660</v>
      </c>
      <c r="D76" s="2">
        <v>35282772</v>
      </c>
      <c r="E76" s="2">
        <v>51997375</v>
      </c>
      <c r="F76" s="2">
        <v>6731513</v>
      </c>
      <c r="G76" s="1">
        <v>459167</v>
      </c>
      <c r="H76" s="2">
        <v>153678</v>
      </c>
      <c r="I76" s="2">
        <v>1803</v>
      </c>
    </row>
    <row r="77" spans="1:9" x14ac:dyDescent="0.4">
      <c r="A77" s="2">
        <v>2024</v>
      </c>
      <c r="B77" s="2" t="s">
        <v>8</v>
      </c>
      <c r="C77" s="2">
        <v>186553232</v>
      </c>
      <c r="D77" s="2">
        <v>74208386</v>
      </c>
      <c r="E77" s="2">
        <v>103323781</v>
      </c>
      <c r="F77" s="2">
        <v>9021065</v>
      </c>
      <c r="G77" s="1">
        <v>138336</v>
      </c>
      <c r="H77" s="2">
        <v>50482</v>
      </c>
      <c r="I77" s="2">
        <v>-518</v>
      </c>
    </row>
    <row r="78" spans="1:9" x14ac:dyDescent="0.4">
      <c r="A78" s="2">
        <v>2024</v>
      </c>
      <c r="B78" s="2" t="s">
        <v>9</v>
      </c>
      <c r="C78" s="2">
        <v>216622466</v>
      </c>
      <c r="D78" s="2">
        <v>52435264</v>
      </c>
      <c r="E78" s="2">
        <v>152294765</v>
      </c>
      <c r="F78" s="2">
        <v>11892437</v>
      </c>
      <c r="G78" s="1">
        <v>120544</v>
      </c>
      <c r="H78" s="2">
        <v>54332</v>
      </c>
      <c r="I78" s="2">
        <v>-3334</v>
      </c>
    </row>
    <row r="79" spans="1:9" x14ac:dyDescent="0.4">
      <c r="A79" s="2">
        <v>2024</v>
      </c>
      <c r="B79" s="2" t="s">
        <v>10</v>
      </c>
      <c r="C79" s="2">
        <v>115155774</v>
      </c>
      <c r="D79" s="2">
        <v>56796253</v>
      </c>
      <c r="E79" s="2">
        <v>45863450</v>
      </c>
      <c r="F79" s="2">
        <v>12496071</v>
      </c>
      <c r="G79" s="1">
        <v>203854</v>
      </c>
      <c r="H79" s="2">
        <v>74001</v>
      </c>
      <c r="I79" s="2">
        <v>-1435</v>
      </c>
    </row>
    <row r="80" spans="1:9" x14ac:dyDescent="0.4">
      <c r="A80" s="2">
        <v>2024</v>
      </c>
      <c r="B80" s="2" t="s">
        <v>11</v>
      </c>
      <c r="C80" s="2">
        <v>118721700</v>
      </c>
      <c r="D80" s="2">
        <v>37079391</v>
      </c>
      <c r="E80" s="2">
        <v>73862010</v>
      </c>
      <c r="F80" s="2">
        <v>7780299</v>
      </c>
      <c r="G80" s="1">
        <v>273669</v>
      </c>
      <c r="H80" s="2">
        <v>104641</v>
      </c>
      <c r="I80" s="2">
        <v>-141</v>
      </c>
    </row>
    <row r="81" spans="1:9" x14ac:dyDescent="0.4">
      <c r="A81" s="2">
        <v>2024</v>
      </c>
      <c r="B81" s="2" t="s">
        <v>12</v>
      </c>
      <c r="C81" s="2">
        <v>115686552</v>
      </c>
      <c r="D81" s="2">
        <v>36851896</v>
      </c>
      <c r="E81" s="2">
        <v>70329994</v>
      </c>
      <c r="F81" s="2">
        <v>8504662</v>
      </c>
      <c r="G81" s="1">
        <v>331963</v>
      </c>
      <c r="H81" s="2">
        <v>97218</v>
      </c>
      <c r="I81" s="2">
        <v>-718</v>
      </c>
    </row>
    <row r="82" spans="1:9" x14ac:dyDescent="0.4">
      <c r="A82" s="2">
        <v>2024</v>
      </c>
      <c r="B82" s="2" t="s">
        <v>13</v>
      </c>
      <c r="C82" s="2">
        <v>117287598</v>
      </c>
      <c r="D82" s="2">
        <v>70686857</v>
      </c>
      <c r="E82" s="2">
        <v>39182683</v>
      </c>
      <c r="F82" s="2">
        <v>7418058</v>
      </c>
      <c r="G82" s="1">
        <v>338735</v>
      </c>
      <c r="H82" s="2">
        <v>102749</v>
      </c>
      <c r="I82" s="2">
        <v>2802</v>
      </c>
    </row>
    <row r="83" spans="1:9" x14ac:dyDescent="0.4">
      <c r="A83" s="2">
        <v>2024</v>
      </c>
      <c r="B83" s="2" t="s">
        <v>14</v>
      </c>
      <c r="C83" s="2">
        <v>90693667</v>
      </c>
      <c r="D83" s="2">
        <v>49857596</v>
      </c>
      <c r="E83" s="2">
        <v>34271820</v>
      </c>
      <c r="F83" s="2">
        <v>6564251</v>
      </c>
      <c r="G83" s="1">
        <v>379274</v>
      </c>
      <c r="H83" s="2">
        <v>116575</v>
      </c>
      <c r="I83" s="2">
        <v>52</v>
      </c>
    </row>
    <row r="84" spans="1:9" x14ac:dyDescent="0.4">
      <c r="A84" s="2">
        <v>2024</v>
      </c>
      <c r="B84" s="2" t="s">
        <v>15</v>
      </c>
      <c r="C84" s="2">
        <v>135254268</v>
      </c>
      <c r="D84" s="2">
        <v>81559692</v>
      </c>
      <c r="E84" s="2">
        <v>47802034</v>
      </c>
      <c r="F84" s="2">
        <v>5892542</v>
      </c>
      <c r="G84" s="1">
        <v>421560</v>
      </c>
      <c r="H84" s="2">
        <v>122135</v>
      </c>
      <c r="I84" s="2">
        <v>-676</v>
      </c>
    </row>
    <row r="85" spans="1:9" x14ac:dyDescent="0.4">
      <c r="A85" s="2">
        <v>2024</v>
      </c>
      <c r="B85" s="2" t="s">
        <v>16</v>
      </c>
      <c r="C85" s="2">
        <v>97599102</v>
      </c>
      <c r="D85" s="2">
        <v>60149464</v>
      </c>
      <c r="E85" s="2">
        <v>32634332</v>
      </c>
      <c r="F85" s="2">
        <v>4815306</v>
      </c>
      <c r="G85" s="1">
        <v>283597</v>
      </c>
      <c r="H85" s="2">
        <v>74169</v>
      </c>
      <c r="I85" s="2">
        <v>-997</v>
      </c>
    </row>
    <row r="86" spans="1:9" x14ac:dyDescent="0.4">
      <c r="A86" s="2">
        <v>2024</v>
      </c>
      <c r="B86" s="2" t="s">
        <v>17</v>
      </c>
      <c r="C86" s="2">
        <v>74280229</v>
      </c>
      <c r="D86" s="2">
        <v>40702065</v>
      </c>
      <c r="E86" s="2">
        <v>29260920</v>
      </c>
      <c r="F86" s="2">
        <v>4317244</v>
      </c>
      <c r="G86" s="1">
        <v>303228</v>
      </c>
      <c r="H86" s="2">
        <v>94946</v>
      </c>
      <c r="I86" s="2">
        <v>-677</v>
      </c>
    </row>
    <row r="87" spans="1:9" x14ac:dyDescent="0.4">
      <c r="A87" s="2">
        <v>2024</v>
      </c>
      <c r="B87" s="2" t="s">
        <v>18</v>
      </c>
      <c r="C87" s="2">
        <v>127177261</v>
      </c>
      <c r="D87" s="2">
        <v>53541282</v>
      </c>
      <c r="E87" s="2">
        <v>65760380</v>
      </c>
      <c r="F87" s="2">
        <v>7875599</v>
      </c>
      <c r="G87" s="1">
        <v>491247</v>
      </c>
      <c r="H87" s="2">
        <v>152155</v>
      </c>
      <c r="I87" s="2">
        <v>-478</v>
      </c>
    </row>
    <row r="88" spans="1:9" x14ac:dyDescent="0.4">
      <c r="A88" s="2">
        <v>2024</v>
      </c>
      <c r="B88" s="2" t="s">
        <v>19</v>
      </c>
      <c r="C88" s="2">
        <v>124945537</v>
      </c>
      <c r="D88" s="2">
        <v>65746264</v>
      </c>
      <c r="E88" s="2">
        <v>52739892</v>
      </c>
      <c r="F88" s="2">
        <v>6459381</v>
      </c>
      <c r="G88" s="1">
        <v>460919</v>
      </c>
      <c r="H88" s="2">
        <v>135047</v>
      </c>
      <c r="I88" s="2">
        <v>1578</v>
      </c>
    </row>
    <row r="89" spans="1:9" x14ac:dyDescent="0.4">
      <c r="A89" s="2">
        <v>2024</v>
      </c>
      <c r="B89" s="2" t="s">
        <v>20</v>
      </c>
      <c r="C89" s="2">
        <v>118572562</v>
      </c>
      <c r="D89" s="2">
        <v>75152493</v>
      </c>
      <c r="E89" s="2">
        <v>37369540</v>
      </c>
      <c r="F89" s="2">
        <v>6050529</v>
      </c>
      <c r="G89" s="1">
        <v>302853</v>
      </c>
      <c r="H89" s="2">
        <v>91650</v>
      </c>
      <c r="I89" s="2">
        <v>-212</v>
      </c>
    </row>
    <row r="90" spans="1:9" x14ac:dyDescent="0.4">
      <c r="A90" s="2">
        <v>2024</v>
      </c>
      <c r="B90" s="2" t="s">
        <v>21</v>
      </c>
      <c r="C90" s="2">
        <v>193806111</v>
      </c>
      <c r="D90" s="2">
        <v>71954538</v>
      </c>
      <c r="E90" s="2">
        <v>107502551</v>
      </c>
      <c r="F90" s="2">
        <v>14349022</v>
      </c>
      <c r="G90" s="1">
        <v>361417</v>
      </c>
      <c r="H90" s="2">
        <v>121943</v>
      </c>
      <c r="I90" s="2">
        <v>-472</v>
      </c>
    </row>
    <row r="91" spans="1:9" x14ac:dyDescent="0.4">
      <c r="A91" s="2">
        <v>2024</v>
      </c>
      <c r="B91" s="2" t="s">
        <v>22</v>
      </c>
      <c r="C91" s="2">
        <v>94359714</v>
      </c>
      <c r="D91" s="2">
        <v>52935254</v>
      </c>
      <c r="E91" s="2">
        <v>35719191</v>
      </c>
      <c r="F91" s="2">
        <v>5705269</v>
      </c>
      <c r="G91" s="1">
        <v>430976</v>
      </c>
      <c r="H91" s="2">
        <v>151189</v>
      </c>
      <c r="I91" s="2">
        <v>-479</v>
      </c>
    </row>
    <row r="92" spans="1:9" x14ac:dyDescent="0.4">
      <c r="A92" s="2">
        <v>2024</v>
      </c>
      <c r="B92" s="2" t="s">
        <v>23</v>
      </c>
      <c r="C92" s="2">
        <v>147998353</v>
      </c>
      <c r="D92" s="2">
        <v>58712738</v>
      </c>
      <c r="E92" s="2">
        <v>78419782</v>
      </c>
      <c r="F92" s="2">
        <v>10865833</v>
      </c>
      <c r="G92" s="1">
        <v>556171</v>
      </c>
      <c r="H92" s="2">
        <v>204600</v>
      </c>
      <c r="I92" s="2">
        <v>-1504</v>
      </c>
    </row>
    <row r="93" spans="1:9" x14ac:dyDescent="0.4">
      <c r="A93" s="2">
        <v>2024</v>
      </c>
      <c r="B93" s="2" t="s">
        <v>24</v>
      </c>
      <c r="C93" s="2">
        <v>134451191</v>
      </c>
      <c r="D93" s="2">
        <v>64242239</v>
      </c>
      <c r="E93" s="2">
        <v>63648432</v>
      </c>
      <c r="F93" s="2">
        <v>6560520</v>
      </c>
      <c r="G93" s="1">
        <v>388169</v>
      </c>
      <c r="H93" s="2">
        <v>147678</v>
      </c>
      <c r="I93" s="2">
        <v>-1041</v>
      </c>
    </row>
    <row r="94" spans="1:9" x14ac:dyDescent="0.4">
      <c r="A94" s="2">
        <v>2024</v>
      </c>
      <c r="B94" s="2" t="s">
        <v>25</v>
      </c>
      <c r="C94" s="2">
        <v>71518788</v>
      </c>
      <c r="D94" s="2">
        <v>45829736</v>
      </c>
      <c r="E94" s="2">
        <v>21506116</v>
      </c>
      <c r="F94" s="2">
        <v>4182936</v>
      </c>
      <c r="G94" s="1">
        <v>225159</v>
      </c>
      <c r="H94" s="2">
        <v>91975</v>
      </c>
      <c r="I94" s="2">
        <v>-248</v>
      </c>
    </row>
    <row r="95" spans="1:9" x14ac:dyDescent="0.4">
      <c r="A95" s="2">
        <v>2024</v>
      </c>
      <c r="B95" s="2" t="s">
        <v>26</v>
      </c>
      <c r="C95" s="2">
        <v>192291682</v>
      </c>
      <c r="D95" s="2">
        <v>74379751</v>
      </c>
      <c r="E95" s="2">
        <v>103831744</v>
      </c>
      <c r="F95" s="2">
        <v>14080187</v>
      </c>
      <c r="G95" s="1">
        <v>373773</v>
      </c>
      <c r="H95" s="2">
        <v>144665</v>
      </c>
      <c r="I95" s="2">
        <v>3</v>
      </c>
    </row>
    <row r="96" spans="1:9" x14ac:dyDescent="0.4">
      <c r="A96" s="2">
        <v>2024</v>
      </c>
      <c r="B96" s="2" t="s">
        <v>27</v>
      </c>
      <c r="C96" s="2">
        <v>127517515</v>
      </c>
      <c r="D96" s="2">
        <v>65399210</v>
      </c>
      <c r="E96" s="2">
        <v>57208566</v>
      </c>
      <c r="F96" s="2">
        <v>4909739</v>
      </c>
      <c r="G96" s="1">
        <v>375799</v>
      </c>
      <c r="H96" s="2">
        <v>106362</v>
      </c>
      <c r="I96" s="2">
        <v>212</v>
      </c>
    </row>
    <row r="97" spans="1:9" x14ac:dyDescent="0.4">
      <c r="A97" s="2">
        <v>2024</v>
      </c>
      <c r="B97" s="2" t="s">
        <v>28</v>
      </c>
      <c r="C97" s="2">
        <v>191528043</v>
      </c>
      <c r="D97" s="2">
        <v>91648849</v>
      </c>
      <c r="E97" s="2">
        <v>92102308</v>
      </c>
      <c r="F97" s="2">
        <v>7776886</v>
      </c>
      <c r="G97" s="1">
        <v>477812</v>
      </c>
      <c r="H97" s="2">
        <v>117936</v>
      </c>
      <c r="I97" s="2">
        <v>-950</v>
      </c>
    </row>
    <row r="98" spans="1:9" x14ac:dyDescent="0.4">
      <c r="A98" s="2">
        <v>2024</v>
      </c>
      <c r="B98" s="2" t="s">
        <v>29</v>
      </c>
      <c r="C98" s="2">
        <v>225955483</v>
      </c>
      <c r="D98" s="2">
        <v>81739104</v>
      </c>
      <c r="E98" s="2">
        <v>130172545</v>
      </c>
      <c r="F98" s="2">
        <v>14043834</v>
      </c>
      <c r="G98" s="1">
        <v>408376</v>
      </c>
      <c r="H98" s="2">
        <v>176628</v>
      </c>
      <c r="I98" s="2">
        <v>491</v>
      </c>
    </row>
    <row r="99" spans="1:9" x14ac:dyDescent="0.4">
      <c r="A99" s="2">
        <v>2024</v>
      </c>
      <c r="B99" s="2" t="s">
        <v>30</v>
      </c>
      <c r="C99" s="2">
        <v>322927844</v>
      </c>
      <c r="D99" s="2">
        <v>111266706</v>
      </c>
      <c r="E99" s="2">
        <v>179953430</v>
      </c>
      <c r="F99" s="2">
        <v>31707708</v>
      </c>
      <c r="G99" s="1">
        <v>557345</v>
      </c>
      <c r="H99" s="2">
        <v>256099</v>
      </c>
      <c r="I99" s="2">
        <v>5654</v>
      </c>
    </row>
    <row r="100" spans="1:9" x14ac:dyDescent="0.4">
      <c r="A100" s="2">
        <v>2024</v>
      </c>
      <c r="B100" s="2" t="s">
        <v>31</v>
      </c>
      <c r="C100" s="2">
        <v>208052956</v>
      </c>
      <c r="D100" s="2">
        <v>71926631</v>
      </c>
      <c r="E100" s="2">
        <v>120662352</v>
      </c>
      <c r="F100" s="2">
        <v>15463973</v>
      </c>
      <c r="G100" s="1">
        <v>650110</v>
      </c>
      <c r="H100" s="2">
        <v>244079</v>
      </c>
      <c r="I100" s="2">
        <v>-1518</v>
      </c>
    </row>
    <row r="101" spans="1:9" x14ac:dyDescent="0.4">
      <c r="A101" s="2">
        <v>2024</v>
      </c>
      <c r="B101" s="2" t="s">
        <v>32</v>
      </c>
      <c r="C101" s="2">
        <v>102160042</v>
      </c>
      <c r="D101" s="2">
        <v>38033929</v>
      </c>
      <c r="E101" s="2">
        <v>55794880</v>
      </c>
      <c r="F101" s="2">
        <v>8331233</v>
      </c>
      <c r="G101" s="1">
        <v>476942</v>
      </c>
      <c r="H101" s="2">
        <v>154522</v>
      </c>
      <c r="I101" s="2">
        <v>844</v>
      </c>
    </row>
  </sheetData>
  <phoneticPr fontId="18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0F15-0CE7-4C4C-B11F-7E70D4F446B4}">
  <dimension ref="A1:AD101"/>
  <sheetViews>
    <sheetView topLeftCell="C13" zoomScale="70" zoomScaleNormal="70" workbookViewId="0">
      <selection activeCell="U22" sqref="U22"/>
    </sheetView>
  </sheetViews>
  <sheetFormatPr defaultRowHeight="17.399999999999999" x14ac:dyDescent="0.4"/>
  <cols>
    <col min="3" max="3" width="10.3984375" bestFit="1" customWidth="1"/>
    <col min="5" max="5" width="10.3984375" bestFit="1" customWidth="1"/>
    <col min="6" max="6" width="9.3984375" bestFit="1" customWidth="1"/>
    <col min="8" max="8" width="15.19921875" bestFit="1" customWidth="1"/>
    <col min="9" max="9" width="19.796875" bestFit="1" customWidth="1"/>
    <col min="11" max="11" width="12.69921875" bestFit="1" customWidth="1"/>
    <col min="12" max="13" width="13.5" bestFit="1" customWidth="1"/>
    <col min="14" max="14" width="12.19921875" bestFit="1" customWidth="1"/>
    <col min="15" max="16" width="12.19921875" customWidth="1"/>
    <col min="17" max="17" width="12.19921875" bestFit="1" customWidth="1"/>
    <col min="18" max="18" width="13.09765625" bestFit="1" customWidth="1"/>
    <col min="19" max="21" width="12.19921875" bestFit="1" customWidth="1"/>
    <col min="22" max="22" width="11.09765625" bestFit="1" customWidth="1"/>
    <col min="23" max="25" width="11" bestFit="1" customWidth="1"/>
    <col min="26" max="26" width="16.09765625" bestFit="1" customWidth="1"/>
    <col min="27" max="27" width="18.09765625" bestFit="1" customWidth="1"/>
    <col min="28" max="28" width="16.09765625" bestFit="1" customWidth="1"/>
  </cols>
  <sheetData>
    <row r="1" spans="1:3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</row>
    <row r="2" spans="1:30" x14ac:dyDescent="0.4">
      <c r="A2" s="2">
        <v>2021</v>
      </c>
      <c r="B2" s="2" t="s">
        <v>8</v>
      </c>
      <c r="C2" s="2">
        <v>141759969</v>
      </c>
      <c r="D2" s="2">
        <v>57821751</v>
      </c>
      <c r="E2" s="2">
        <v>75771163</v>
      </c>
      <c r="F2" s="2">
        <v>8167055</v>
      </c>
      <c r="G2" s="1">
        <v>144683</v>
      </c>
      <c r="H2" s="2">
        <v>50049</v>
      </c>
      <c r="I2" s="2">
        <v>-11</v>
      </c>
    </row>
    <row r="3" spans="1:30" x14ac:dyDescent="0.4">
      <c r="A3" s="2">
        <v>2021</v>
      </c>
      <c r="B3" s="2" t="s">
        <v>9</v>
      </c>
      <c r="C3" s="2">
        <v>149856039</v>
      </c>
      <c r="D3" s="2">
        <v>39190006</v>
      </c>
      <c r="E3" s="2">
        <v>100938579</v>
      </c>
      <c r="F3" s="2">
        <v>9727454</v>
      </c>
      <c r="G3" s="1">
        <v>122499</v>
      </c>
      <c r="H3" s="2">
        <v>53107</v>
      </c>
      <c r="I3" s="2">
        <v>1947</v>
      </c>
      <c r="K3" s="3" t="s">
        <v>34</v>
      </c>
      <c r="L3" t="s">
        <v>37</v>
      </c>
      <c r="M3" t="s">
        <v>36</v>
      </c>
      <c r="N3" t="s">
        <v>38</v>
      </c>
      <c r="Q3" s="5" t="s">
        <v>37</v>
      </c>
      <c r="R3" s="5" t="s">
        <v>36</v>
      </c>
      <c r="S3" s="5" t="s">
        <v>38</v>
      </c>
    </row>
    <row r="4" spans="1:30" x14ac:dyDescent="0.4">
      <c r="A4" s="2">
        <v>2021</v>
      </c>
      <c r="B4" s="2" t="s">
        <v>10</v>
      </c>
      <c r="C4" s="2">
        <v>87031985</v>
      </c>
      <c r="D4" s="2">
        <v>43905878</v>
      </c>
      <c r="E4" s="2">
        <v>32335411</v>
      </c>
      <c r="F4" s="2">
        <v>10790696</v>
      </c>
      <c r="G4" s="1">
        <v>222953</v>
      </c>
      <c r="H4" s="2">
        <v>79486</v>
      </c>
      <c r="I4" s="2">
        <v>3005</v>
      </c>
      <c r="K4" s="4" t="s">
        <v>30</v>
      </c>
      <c r="L4" s="6">
        <v>413121562</v>
      </c>
      <c r="M4" s="6">
        <v>656355602</v>
      </c>
      <c r="N4" s="6">
        <v>116635047</v>
      </c>
      <c r="O4" s="6"/>
      <c r="P4" t="s">
        <v>40</v>
      </c>
      <c r="Q4" s="6">
        <v>413121562</v>
      </c>
      <c r="R4" s="6">
        <v>656355602</v>
      </c>
      <c r="S4" s="6">
        <v>116635047</v>
      </c>
    </row>
    <row r="5" spans="1:30" x14ac:dyDescent="0.4">
      <c r="A5" s="2">
        <v>2021</v>
      </c>
      <c r="B5" s="2" t="s">
        <v>11</v>
      </c>
      <c r="C5" s="2">
        <v>96087425</v>
      </c>
      <c r="D5" s="2">
        <v>31552270</v>
      </c>
      <c r="E5" s="2">
        <v>56470250</v>
      </c>
      <c r="F5" s="2">
        <v>8064905</v>
      </c>
      <c r="G5" s="1">
        <v>285990</v>
      </c>
      <c r="H5" s="2">
        <v>106435</v>
      </c>
      <c r="I5" s="2">
        <v>905</v>
      </c>
      <c r="K5" s="4" t="s">
        <v>32</v>
      </c>
      <c r="L5" s="6">
        <v>140803615</v>
      </c>
      <c r="M5" s="6">
        <v>202881003</v>
      </c>
      <c r="N5" s="6">
        <v>33927014</v>
      </c>
      <c r="O5" s="6"/>
      <c r="Q5" s="6"/>
      <c r="R5" s="6"/>
      <c r="S5" s="6"/>
    </row>
    <row r="6" spans="1:30" x14ac:dyDescent="0.4">
      <c r="A6" s="2">
        <v>2021</v>
      </c>
      <c r="B6" s="2" t="s">
        <v>12</v>
      </c>
      <c r="C6" s="2">
        <v>95731490</v>
      </c>
      <c r="D6" s="2">
        <v>29859594</v>
      </c>
      <c r="E6" s="2">
        <v>56633974</v>
      </c>
      <c r="F6" s="2">
        <v>9237922</v>
      </c>
      <c r="G6" s="1">
        <v>339996</v>
      </c>
      <c r="H6" s="2">
        <v>98658</v>
      </c>
      <c r="I6" s="2">
        <v>-114</v>
      </c>
      <c r="K6" s="4" t="s">
        <v>16</v>
      </c>
      <c r="L6" s="6">
        <v>231399328</v>
      </c>
      <c r="M6" s="6">
        <v>123414134</v>
      </c>
      <c r="N6" s="6">
        <v>20746404</v>
      </c>
      <c r="O6" s="6"/>
      <c r="Q6" s="6"/>
      <c r="R6" s="6"/>
      <c r="S6" s="6"/>
    </row>
    <row r="7" spans="1:30" x14ac:dyDescent="0.4">
      <c r="A7" s="2">
        <v>2021</v>
      </c>
      <c r="B7" s="2" t="s">
        <v>13</v>
      </c>
      <c r="C7" s="2">
        <v>97942712</v>
      </c>
      <c r="D7" s="2">
        <v>57791744</v>
      </c>
      <c r="E7" s="2">
        <v>31218408</v>
      </c>
      <c r="F7" s="2">
        <v>8932560</v>
      </c>
      <c r="G7" s="1">
        <v>337400</v>
      </c>
      <c r="H7" s="2">
        <v>98170</v>
      </c>
      <c r="I7" s="2">
        <v>352</v>
      </c>
      <c r="K7" s="4" t="s">
        <v>23</v>
      </c>
      <c r="L7" s="6">
        <v>224090645</v>
      </c>
      <c r="M7" s="6">
        <v>286155643</v>
      </c>
      <c r="N7" s="6">
        <v>41989846</v>
      </c>
      <c r="O7" s="6"/>
      <c r="Q7" s="6"/>
      <c r="R7" s="6"/>
      <c r="S7" s="6"/>
    </row>
    <row r="8" spans="1:30" x14ac:dyDescent="0.4">
      <c r="A8" s="2">
        <v>2021</v>
      </c>
      <c r="B8" s="2" t="s">
        <v>14</v>
      </c>
      <c r="C8" s="2">
        <v>79293944</v>
      </c>
      <c r="D8" s="2">
        <v>41568031</v>
      </c>
      <c r="E8" s="2">
        <v>29571182</v>
      </c>
      <c r="F8" s="2">
        <v>8154731</v>
      </c>
      <c r="G8" s="1">
        <v>387350</v>
      </c>
      <c r="H8" s="2">
        <v>114237</v>
      </c>
      <c r="I8" s="2">
        <v>2120</v>
      </c>
      <c r="K8" s="4" t="s">
        <v>28</v>
      </c>
      <c r="L8" s="6">
        <v>352970556</v>
      </c>
      <c r="M8" s="6">
        <v>343213567</v>
      </c>
      <c r="N8" s="6">
        <v>31492576</v>
      </c>
      <c r="O8" s="6"/>
      <c r="Q8" s="6"/>
      <c r="R8" s="6"/>
      <c r="S8" s="6"/>
    </row>
    <row r="9" spans="1:30" x14ac:dyDescent="0.4">
      <c r="A9" s="2">
        <v>2021</v>
      </c>
      <c r="B9" s="2" t="s">
        <v>15</v>
      </c>
      <c r="C9" s="2">
        <v>112791260</v>
      </c>
      <c r="D9" s="2">
        <v>67929727</v>
      </c>
      <c r="E9" s="2">
        <v>37822410</v>
      </c>
      <c r="F9" s="2">
        <v>7039123</v>
      </c>
      <c r="G9" s="1">
        <v>430528</v>
      </c>
      <c r="H9" s="2">
        <v>120909</v>
      </c>
      <c r="I9" s="2">
        <v>1727</v>
      </c>
      <c r="K9" s="4" t="s">
        <v>12</v>
      </c>
      <c r="L9" s="6">
        <v>134756110</v>
      </c>
      <c r="M9" s="6">
        <v>261330257</v>
      </c>
      <c r="N9" s="6">
        <v>34105941</v>
      </c>
      <c r="O9" s="6"/>
    </row>
    <row r="10" spans="1:30" x14ac:dyDescent="0.4">
      <c r="A10" s="2">
        <v>2021</v>
      </c>
      <c r="B10" s="2" t="s">
        <v>16</v>
      </c>
      <c r="C10" s="2">
        <v>88255787</v>
      </c>
      <c r="D10" s="2">
        <v>54255008</v>
      </c>
      <c r="E10" s="2">
        <v>28068271</v>
      </c>
      <c r="F10" s="2">
        <v>5932508</v>
      </c>
      <c r="G10" s="1">
        <v>299182</v>
      </c>
      <c r="H10" s="2">
        <v>75570</v>
      </c>
      <c r="I10" s="2">
        <v>-511</v>
      </c>
      <c r="K10" s="4" t="s">
        <v>24</v>
      </c>
      <c r="L10" s="6">
        <v>248372319</v>
      </c>
      <c r="M10" s="6">
        <v>242330807</v>
      </c>
      <c r="N10" s="6">
        <v>26062549</v>
      </c>
      <c r="O10" s="6"/>
    </row>
    <row r="11" spans="1:30" x14ac:dyDescent="0.4">
      <c r="A11" s="2">
        <v>2021</v>
      </c>
      <c r="B11" s="2" t="s">
        <v>17</v>
      </c>
      <c r="C11" s="2">
        <v>67739876</v>
      </c>
      <c r="D11" s="2">
        <v>37019485</v>
      </c>
      <c r="E11" s="2">
        <v>25198610</v>
      </c>
      <c r="F11" s="2">
        <v>5521781</v>
      </c>
      <c r="G11" s="1">
        <v>317366</v>
      </c>
      <c r="H11" s="2">
        <v>95462</v>
      </c>
      <c r="I11" s="2">
        <v>-389</v>
      </c>
      <c r="K11" s="4" t="s">
        <v>25</v>
      </c>
      <c r="L11" s="6">
        <v>179205270</v>
      </c>
      <c r="M11" s="6">
        <v>83174740</v>
      </c>
      <c r="N11" s="6">
        <v>17053803</v>
      </c>
      <c r="O11" s="6"/>
    </row>
    <row r="12" spans="1:30" x14ac:dyDescent="0.4">
      <c r="A12" s="2">
        <v>2021</v>
      </c>
      <c r="B12" s="2" t="s">
        <v>18</v>
      </c>
      <c r="C12" s="2">
        <v>108740071</v>
      </c>
      <c r="D12" s="2">
        <v>46165813</v>
      </c>
      <c r="E12" s="2">
        <v>52909026</v>
      </c>
      <c r="F12" s="2">
        <v>9665232</v>
      </c>
      <c r="G12" s="1">
        <v>510956</v>
      </c>
      <c r="H12" s="2">
        <v>152701</v>
      </c>
      <c r="I12" s="2">
        <v>533</v>
      </c>
      <c r="K12" s="4" t="s">
        <v>18</v>
      </c>
      <c r="L12" s="6">
        <v>202012786</v>
      </c>
      <c r="M12" s="6">
        <v>237281653</v>
      </c>
      <c r="N12" s="6">
        <v>33933306</v>
      </c>
      <c r="O12" s="6"/>
    </row>
    <row r="13" spans="1:30" x14ac:dyDescent="0.4">
      <c r="A13" s="2">
        <v>2021</v>
      </c>
      <c r="B13" s="2" t="s">
        <v>19</v>
      </c>
      <c r="C13" s="2">
        <v>110416503</v>
      </c>
      <c r="D13" s="2">
        <v>57517380</v>
      </c>
      <c r="E13" s="2">
        <v>45319869</v>
      </c>
      <c r="F13" s="2">
        <v>7579254</v>
      </c>
      <c r="G13" s="1">
        <v>473307</v>
      </c>
      <c r="H13" s="2">
        <v>132052</v>
      </c>
      <c r="I13" s="2">
        <v>2789</v>
      </c>
      <c r="K13" s="4" t="s">
        <v>17</v>
      </c>
      <c r="L13" s="6">
        <v>156404952</v>
      </c>
      <c r="M13" s="6">
        <v>109768690</v>
      </c>
      <c r="N13" s="6">
        <v>18750230</v>
      </c>
      <c r="O13" s="6"/>
      <c r="AB13" s="6"/>
      <c r="AC13" s="6"/>
      <c r="AD13" s="6"/>
    </row>
    <row r="14" spans="1:30" x14ac:dyDescent="0.4">
      <c r="A14" s="2">
        <v>2021</v>
      </c>
      <c r="B14" s="2" t="s">
        <v>20</v>
      </c>
      <c r="C14" s="2">
        <v>95958124</v>
      </c>
      <c r="D14" s="2">
        <v>60695355</v>
      </c>
      <c r="E14" s="2">
        <v>28742860</v>
      </c>
      <c r="F14" s="2">
        <v>6519909</v>
      </c>
      <c r="G14" s="1">
        <v>304819</v>
      </c>
      <c r="H14" s="2">
        <v>89578</v>
      </c>
      <c r="I14" s="2">
        <v>1541</v>
      </c>
      <c r="K14" s="4" t="s">
        <v>13</v>
      </c>
      <c r="L14" s="6">
        <v>259199696</v>
      </c>
      <c r="M14" s="6">
        <v>143077040</v>
      </c>
      <c r="N14" s="6">
        <v>31175446</v>
      </c>
      <c r="O14" s="6"/>
      <c r="AB14" s="6"/>
      <c r="AC14" s="6"/>
      <c r="AD14" s="6"/>
    </row>
    <row r="15" spans="1:30" x14ac:dyDescent="0.4">
      <c r="A15" s="2">
        <v>2021</v>
      </c>
      <c r="B15" s="2" t="s">
        <v>21</v>
      </c>
      <c r="C15" s="2">
        <v>148131112</v>
      </c>
      <c r="D15" s="2">
        <v>56944960</v>
      </c>
      <c r="E15" s="2">
        <v>78992624</v>
      </c>
      <c r="F15" s="2">
        <v>12193528</v>
      </c>
      <c r="G15" s="1">
        <v>368905</v>
      </c>
      <c r="H15" s="2">
        <v>119380</v>
      </c>
      <c r="I15" s="2">
        <v>1069</v>
      </c>
      <c r="K15" s="4" t="s">
        <v>27</v>
      </c>
      <c r="L15" s="6">
        <v>248622895</v>
      </c>
      <c r="M15" s="6">
        <v>210214479</v>
      </c>
      <c r="N15" s="6">
        <v>19506266</v>
      </c>
      <c r="O15" s="6"/>
      <c r="AB15" s="6"/>
      <c r="AC15" s="6"/>
      <c r="AD15" s="6"/>
    </row>
    <row r="16" spans="1:30" x14ac:dyDescent="0.4">
      <c r="A16" s="2">
        <v>2021</v>
      </c>
      <c r="B16" s="2" t="s">
        <v>22</v>
      </c>
      <c r="C16" s="2">
        <v>83179122</v>
      </c>
      <c r="D16" s="2">
        <v>46183700</v>
      </c>
      <c r="E16" s="2">
        <v>30359568</v>
      </c>
      <c r="F16" s="2">
        <v>6635854</v>
      </c>
      <c r="G16" s="1">
        <v>447302</v>
      </c>
      <c r="H16" s="2">
        <v>151626</v>
      </c>
      <c r="I16" s="2">
        <v>2268</v>
      </c>
      <c r="K16" s="4" t="s">
        <v>21</v>
      </c>
      <c r="L16" s="6">
        <v>261784476</v>
      </c>
      <c r="M16" s="6">
        <v>381725232</v>
      </c>
      <c r="N16" s="6">
        <v>50733831</v>
      </c>
      <c r="O16" s="6"/>
    </row>
    <row r="17" spans="1:19" x14ac:dyDescent="0.4">
      <c r="A17" s="2">
        <v>2021</v>
      </c>
      <c r="B17" s="2" t="s">
        <v>23</v>
      </c>
      <c r="C17" s="2">
        <v>125896852</v>
      </c>
      <c r="D17" s="2">
        <v>52107668</v>
      </c>
      <c r="E17" s="2">
        <v>62794479</v>
      </c>
      <c r="F17" s="2">
        <v>10994705</v>
      </c>
      <c r="G17" s="1">
        <v>574315</v>
      </c>
      <c r="H17" s="2">
        <v>204246</v>
      </c>
      <c r="I17" s="2">
        <v>-97</v>
      </c>
      <c r="K17" s="4" t="s">
        <v>20</v>
      </c>
      <c r="L17" s="6">
        <v>276200470</v>
      </c>
      <c r="M17" s="6">
        <v>135545577</v>
      </c>
      <c r="N17" s="6">
        <v>23803634</v>
      </c>
      <c r="O17" s="6"/>
    </row>
    <row r="18" spans="1:19" x14ac:dyDescent="0.4">
      <c r="A18" s="2">
        <v>2021</v>
      </c>
      <c r="B18" s="2" t="s">
        <v>24</v>
      </c>
      <c r="C18" s="2">
        <v>123387880</v>
      </c>
      <c r="D18" s="2">
        <v>60237240</v>
      </c>
      <c r="E18" s="2">
        <v>56036771</v>
      </c>
      <c r="F18" s="2">
        <v>7113869</v>
      </c>
      <c r="G18" s="1">
        <v>396754</v>
      </c>
      <c r="H18" s="2">
        <v>144667</v>
      </c>
      <c r="I18" s="2">
        <v>906</v>
      </c>
      <c r="K18" s="4" t="s">
        <v>29</v>
      </c>
      <c r="L18" s="6">
        <v>311453924</v>
      </c>
      <c r="M18" s="6">
        <v>479071759</v>
      </c>
      <c r="N18" s="6">
        <v>53256731</v>
      </c>
      <c r="O18" s="6"/>
    </row>
    <row r="19" spans="1:19" x14ac:dyDescent="0.4">
      <c r="A19" s="2">
        <v>2021</v>
      </c>
      <c r="B19" s="2" t="s">
        <v>25</v>
      </c>
      <c r="C19" s="2">
        <v>66752284</v>
      </c>
      <c r="D19" s="2">
        <v>42139004</v>
      </c>
      <c r="E19" s="2">
        <v>19830665</v>
      </c>
      <c r="F19" s="2">
        <v>4782615</v>
      </c>
      <c r="G19" s="1">
        <v>230811</v>
      </c>
      <c r="H19" s="2">
        <v>88945</v>
      </c>
      <c r="I19" s="2">
        <v>1497</v>
      </c>
      <c r="K19" s="4" t="s">
        <v>11</v>
      </c>
      <c r="L19" s="6">
        <v>138027351</v>
      </c>
      <c r="M19" s="6">
        <v>264780514</v>
      </c>
      <c r="N19" s="6">
        <v>29884809</v>
      </c>
      <c r="O19" s="6"/>
    </row>
    <row r="20" spans="1:19" x14ac:dyDescent="0.4">
      <c r="A20" s="2">
        <v>2021</v>
      </c>
      <c r="B20" s="2" t="s">
        <v>26</v>
      </c>
      <c r="C20" s="2">
        <v>157499505</v>
      </c>
      <c r="D20" s="2">
        <v>61964048</v>
      </c>
      <c r="E20" s="2">
        <v>81402306</v>
      </c>
      <c r="F20" s="2">
        <v>14133151</v>
      </c>
      <c r="G20" s="1">
        <v>376837</v>
      </c>
      <c r="H20" s="2">
        <v>146625</v>
      </c>
      <c r="I20" s="2">
        <v>3861</v>
      </c>
      <c r="K20" s="4" t="s">
        <v>15</v>
      </c>
      <c r="L20" s="6">
        <v>305182073</v>
      </c>
      <c r="M20" s="6">
        <v>175673100</v>
      </c>
      <c r="N20" s="6">
        <v>24465212</v>
      </c>
      <c r="O20" s="6"/>
    </row>
    <row r="21" spans="1:19" x14ac:dyDescent="0.4">
      <c r="A21" s="2">
        <v>2021</v>
      </c>
      <c r="B21" s="2" t="s">
        <v>27</v>
      </c>
      <c r="C21" s="2">
        <v>109377406</v>
      </c>
      <c r="D21" s="2">
        <v>58188663</v>
      </c>
      <c r="E21" s="2">
        <v>45706535</v>
      </c>
      <c r="F21" s="2">
        <v>5482208</v>
      </c>
      <c r="G21" s="1">
        <v>385483</v>
      </c>
      <c r="H21" s="2">
        <v>105722</v>
      </c>
      <c r="I21" s="2">
        <v>653</v>
      </c>
      <c r="K21" s="4" t="s">
        <v>31</v>
      </c>
      <c r="L21" s="6">
        <v>269741415</v>
      </c>
      <c r="M21" s="6">
        <v>430156329</v>
      </c>
      <c r="N21" s="6">
        <v>60214032</v>
      </c>
      <c r="O21" s="6"/>
      <c r="Q21" s="5" t="s">
        <v>37</v>
      </c>
      <c r="R21" s="5" t="s">
        <v>36</v>
      </c>
      <c r="S21" s="5" t="s">
        <v>38</v>
      </c>
    </row>
    <row r="22" spans="1:19" x14ac:dyDescent="0.4">
      <c r="A22" s="2">
        <v>2021</v>
      </c>
      <c r="B22" s="2" t="s">
        <v>28</v>
      </c>
      <c r="C22" s="2">
        <v>166188364</v>
      </c>
      <c r="D22" s="2">
        <v>81960533</v>
      </c>
      <c r="E22" s="2">
        <v>75428105</v>
      </c>
      <c r="F22" s="2">
        <v>8799726</v>
      </c>
      <c r="G22" s="1">
        <v>485699</v>
      </c>
      <c r="H22" s="2">
        <v>118943</v>
      </c>
      <c r="I22" s="2">
        <v>-509</v>
      </c>
      <c r="K22" s="4" t="s">
        <v>22</v>
      </c>
      <c r="L22" s="6">
        <v>200759599</v>
      </c>
      <c r="M22" s="6">
        <v>134562660</v>
      </c>
      <c r="N22" s="6">
        <v>23345292</v>
      </c>
      <c r="O22" s="6"/>
      <c r="P22" t="s">
        <v>41</v>
      </c>
      <c r="Q22" s="6">
        <v>270166411</v>
      </c>
      <c r="R22" s="6">
        <v>369163287</v>
      </c>
      <c r="S22" s="6">
        <v>32486824</v>
      </c>
    </row>
    <row r="23" spans="1:19" x14ac:dyDescent="0.4">
      <c r="A23" s="2">
        <v>2021</v>
      </c>
      <c r="B23" s="2" t="s">
        <v>29</v>
      </c>
      <c r="C23" s="2">
        <v>191318304</v>
      </c>
      <c r="D23" s="2">
        <v>72872287</v>
      </c>
      <c r="E23" s="2">
        <v>104225039</v>
      </c>
      <c r="F23" s="2">
        <v>14220978</v>
      </c>
      <c r="G23" s="1">
        <v>412279</v>
      </c>
      <c r="H23" s="2">
        <v>178778</v>
      </c>
      <c r="I23" s="2">
        <v>-2235</v>
      </c>
      <c r="K23" s="4" t="s">
        <v>26</v>
      </c>
      <c r="L23" s="6">
        <v>278021630</v>
      </c>
      <c r="M23" s="6">
        <v>377368540</v>
      </c>
      <c r="N23" s="6">
        <v>53263099</v>
      </c>
      <c r="O23" s="6"/>
    </row>
    <row r="24" spans="1:19" x14ac:dyDescent="0.4">
      <c r="A24" s="2">
        <v>2021</v>
      </c>
      <c r="B24" s="2" t="s">
        <v>30</v>
      </c>
      <c r="C24" s="2">
        <v>263148318</v>
      </c>
      <c r="D24" s="2">
        <v>93477395</v>
      </c>
      <c r="E24" s="2">
        <v>139523472</v>
      </c>
      <c r="F24" s="2">
        <v>30147451</v>
      </c>
      <c r="G24" s="1">
        <v>533042</v>
      </c>
      <c r="H24" s="2">
        <v>235796</v>
      </c>
      <c r="I24" s="2">
        <v>602</v>
      </c>
      <c r="K24" s="4" t="s">
        <v>10</v>
      </c>
      <c r="L24" s="6">
        <v>205248912</v>
      </c>
      <c r="M24" s="6">
        <v>161791199</v>
      </c>
      <c r="N24" s="6">
        <v>43784448</v>
      </c>
      <c r="O24" s="6"/>
    </row>
    <row r="25" spans="1:19" x14ac:dyDescent="0.4">
      <c r="A25" s="2">
        <v>2021</v>
      </c>
      <c r="B25" s="2" t="s">
        <v>31</v>
      </c>
      <c r="C25" s="2">
        <v>166423657</v>
      </c>
      <c r="D25" s="2">
        <v>60517668</v>
      </c>
      <c r="E25" s="2">
        <v>89719740</v>
      </c>
      <c r="F25" s="2">
        <v>16186249</v>
      </c>
      <c r="G25" s="1">
        <v>658338</v>
      </c>
      <c r="H25" s="2">
        <v>245565</v>
      </c>
      <c r="I25" s="2">
        <v>4591</v>
      </c>
      <c r="K25" s="4" t="s">
        <v>19</v>
      </c>
      <c r="L25" s="6">
        <v>248392278</v>
      </c>
      <c r="M25" s="6">
        <v>198821000</v>
      </c>
      <c r="N25" s="6">
        <v>26404351</v>
      </c>
      <c r="O25" s="6"/>
    </row>
    <row r="26" spans="1:19" x14ac:dyDescent="0.4">
      <c r="A26" s="2">
        <v>2021</v>
      </c>
      <c r="B26" s="2" t="s">
        <v>32</v>
      </c>
      <c r="C26" s="2">
        <v>87515237</v>
      </c>
      <c r="D26" s="2">
        <v>32292610</v>
      </c>
      <c r="E26" s="2">
        <v>45671791</v>
      </c>
      <c r="F26" s="2">
        <v>9550836</v>
      </c>
      <c r="G26" s="1">
        <v>462664</v>
      </c>
      <c r="H26" s="2">
        <v>152003</v>
      </c>
      <c r="I26" s="2">
        <v>6877</v>
      </c>
      <c r="K26" s="4" t="s">
        <v>8</v>
      </c>
      <c r="L26" s="6">
        <v>270166411</v>
      </c>
      <c r="M26" s="6">
        <v>369163287</v>
      </c>
      <c r="N26" s="6">
        <v>32486824</v>
      </c>
      <c r="O26" s="6"/>
    </row>
    <row r="27" spans="1:19" x14ac:dyDescent="0.4">
      <c r="A27" s="2">
        <v>2022</v>
      </c>
      <c r="B27" s="2" t="s">
        <v>8</v>
      </c>
      <c r="C27" s="2">
        <v>164935619</v>
      </c>
      <c r="D27" s="2">
        <v>67454849</v>
      </c>
      <c r="E27" s="2">
        <v>89319867</v>
      </c>
      <c r="F27" s="2">
        <v>8160903</v>
      </c>
      <c r="G27" s="1">
        <v>141379</v>
      </c>
      <c r="H27" s="2">
        <v>50832</v>
      </c>
      <c r="I27" s="2">
        <v>783</v>
      </c>
      <c r="K27" s="4" t="s">
        <v>9</v>
      </c>
      <c r="L27" s="6">
        <v>186071080</v>
      </c>
      <c r="M27" s="6">
        <v>518614717</v>
      </c>
      <c r="N27" s="6">
        <v>40271859</v>
      </c>
      <c r="O27" s="6"/>
    </row>
    <row r="28" spans="1:19" x14ac:dyDescent="0.4">
      <c r="A28" s="2">
        <v>2022</v>
      </c>
      <c r="B28" s="2" t="s">
        <v>9</v>
      </c>
      <c r="C28" s="2">
        <v>176154824</v>
      </c>
      <c r="D28" s="2">
        <v>45724150</v>
      </c>
      <c r="E28" s="2">
        <v>120765784</v>
      </c>
      <c r="F28" s="2">
        <v>9664890</v>
      </c>
      <c r="G28" s="1">
        <v>120437</v>
      </c>
      <c r="H28" s="2">
        <v>60081</v>
      </c>
      <c r="I28" s="2">
        <v>6974</v>
      </c>
      <c r="K28" s="4" t="s">
        <v>14</v>
      </c>
      <c r="L28" s="6">
        <v>185814761</v>
      </c>
      <c r="M28" s="6">
        <v>129622124</v>
      </c>
      <c r="N28" s="6">
        <v>28530941</v>
      </c>
      <c r="O28" s="6"/>
    </row>
    <row r="29" spans="1:19" x14ac:dyDescent="0.4">
      <c r="A29" s="2">
        <v>2022</v>
      </c>
      <c r="B29" s="2" t="s">
        <v>10</v>
      </c>
      <c r="C29" s="2">
        <v>100875869</v>
      </c>
      <c r="D29" s="2">
        <v>50537978</v>
      </c>
      <c r="E29" s="2">
        <v>39369572</v>
      </c>
      <c r="F29" s="2">
        <v>10968319</v>
      </c>
      <c r="G29" s="1">
        <v>218650</v>
      </c>
      <c r="H29" s="2">
        <v>79420</v>
      </c>
      <c r="I29" s="2">
        <v>-66</v>
      </c>
      <c r="K29" s="4" t="s">
        <v>35</v>
      </c>
      <c r="L29" s="6">
        <v>5927824114</v>
      </c>
      <c r="M29" s="6">
        <v>6656093653</v>
      </c>
      <c r="N29" s="6">
        <v>915823491</v>
      </c>
      <c r="O29" s="6"/>
    </row>
    <row r="30" spans="1:19" x14ac:dyDescent="0.4">
      <c r="A30" s="2">
        <v>2022</v>
      </c>
      <c r="B30" s="2" t="s">
        <v>11</v>
      </c>
      <c r="C30" s="2">
        <v>106165626</v>
      </c>
      <c r="D30" s="2">
        <v>34157923</v>
      </c>
      <c r="E30" s="2">
        <v>64269063</v>
      </c>
      <c r="F30" s="2">
        <v>7738640</v>
      </c>
      <c r="G30" s="1">
        <v>281000</v>
      </c>
      <c r="H30" s="2">
        <v>106035</v>
      </c>
      <c r="I30" s="2">
        <v>-400</v>
      </c>
    </row>
    <row r="31" spans="1:19" x14ac:dyDescent="0.4">
      <c r="A31" s="2">
        <v>2022</v>
      </c>
      <c r="B31" s="2" t="s">
        <v>12</v>
      </c>
      <c r="C31" s="2">
        <v>107246102</v>
      </c>
      <c r="D31" s="2">
        <v>33234902</v>
      </c>
      <c r="E31" s="2">
        <v>64860255</v>
      </c>
      <c r="F31" s="2">
        <v>9150945</v>
      </c>
      <c r="G31" s="1">
        <v>337416</v>
      </c>
      <c r="H31" s="2">
        <v>99126</v>
      </c>
      <c r="I31" s="2">
        <v>468</v>
      </c>
    </row>
    <row r="32" spans="1:19" x14ac:dyDescent="0.4">
      <c r="A32" s="2">
        <v>2022</v>
      </c>
      <c r="B32" s="2" t="s">
        <v>13</v>
      </c>
      <c r="C32" s="2">
        <v>106610793</v>
      </c>
      <c r="D32" s="2">
        <v>63284045</v>
      </c>
      <c r="E32" s="2">
        <v>34854710</v>
      </c>
      <c r="F32" s="2">
        <v>8472038</v>
      </c>
      <c r="G32" s="1">
        <v>336644</v>
      </c>
      <c r="H32" s="2">
        <v>98574</v>
      </c>
      <c r="I32" s="2">
        <v>404</v>
      </c>
    </row>
    <row r="33" spans="1:19" x14ac:dyDescent="0.4">
      <c r="A33" s="2">
        <v>2022</v>
      </c>
      <c r="B33" s="2" t="s">
        <v>14</v>
      </c>
      <c r="C33" s="2">
        <v>85919590</v>
      </c>
      <c r="D33" s="2">
        <v>46033124</v>
      </c>
      <c r="E33" s="2">
        <v>31943438</v>
      </c>
      <c r="F33" s="2">
        <v>7943028</v>
      </c>
      <c r="G33" s="1">
        <v>385318</v>
      </c>
      <c r="H33" s="2">
        <v>114961</v>
      </c>
      <c r="I33" s="2">
        <v>724</v>
      </c>
    </row>
    <row r="34" spans="1:19" x14ac:dyDescent="0.4">
      <c r="A34" s="2">
        <v>2022</v>
      </c>
      <c r="B34" s="2" t="s">
        <v>15</v>
      </c>
      <c r="C34" s="2">
        <v>126169567</v>
      </c>
      <c r="D34" s="2">
        <v>76331592</v>
      </c>
      <c r="E34" s="2">
        <v>43239120</v>
      </c>
      <c r="F34" s="2">
        <v>6598855</v>
      </c>
      <c r="G34" s="1">
        <v>430397</v>
      </c>
      <c r="H34" s="2">
        <v>122016</v>
      </c>
      <c r="I34" s="2">
        <v>1107</v>
      </c>
    </row>
    <row r="35" spans="1:19" x14ac:dyDescent="0.4">
      <c r="A35" s="2">
        <v>2022</v>
      </c>
      <c r="B35" s="2" t="s">
        <v>16</v>
      </c>
      <c r="C35" s="2">
        <v>94283492</v>
      </c>
      <c r="D35" s="2">
        <v>57994006</v>
      </c>
      <c r="E35" s="2">
        <v>30445153</v>
      </c>
      <c r="F35" s="2">
        <v>5844333</v>
      </c>
      <c r="G35" s="1">
        <v>293660</v>
      </c>
      <c r="H35" s="2">
        <v>75148</v>
      </c>
      <c r="I35" s="2">
        <v>-422</v>
      </c>
    </row>
    <row r="36" spans="1:19" x14ac:dyDescent="0.4">
      <c r="A36" s="2">
        <v>2022</v>
      </c>
      <c r="B36" s="2" t="s">
        <v>17</v>
      </c>
      <c r="C36" s="2">
        <v>71242195</v>
      </c>
      <c r="D36" s="2">
        <v>38900295</v>
      </c>
      <c r="E36" s="2">
        <v>26987249</v>
      </c>
      <c r="F36" s="2">
        <v>5354651</v>
      </c>
      <c r="G36" s="1">
        <v>311694</v>
      </c>
      <c r="H36" s="2">
        <v>95573</v>
      </c>
      <c r="I36" s="2">
        <v>111</v>
      </c>
    </row>
    <row r="37" spans="1:19" x14ac:dyDescent="0.4">
      <c r="A37" s="2">
        <v>2022</v>
      </c>
      <c r="B37" s="2" t="s">
        <v>18</v>
      </c>
      <c r="C37" s="2">
        <v>117486557</v>
      </c>
      <c r="D37" s="2">
        <v>50579231</v>
      </c>
      <c r="E37" s="2">
        <v>57264326</v>
      </c>
      <c r="F37" s="2">
        <v>9643000</v>
      </c>
      <c r="G37" s="1">
        <v>503734</v>
      </c>
      <c r="H37" s="2">
        <v>152305</v>
      </c>
      <c r="I37" s="2">
        <v>-396</v>
      </c>
    </row>
    <row r="38" spans="1:19" x14ac:dyDescent="0.4">
      <c r="A38" s="2">
        <v>2022</v>
      </c>
      <c r="B38" s="2" t="s">
        <v>19</v>
      </c>
      <c r="C38" s="2">
        <v>117881189</v>
      </c>
      <c r="D38" s="2">
        <v>61790167</v>
      </c>
      <c r="E38" s="2">
        <v>48938669</v>
      </c>
      <c r="F38" s="2">
        <v>7152353</v>
      </c>
      <c r="G38" s="1">
        <v>466746</v>
      </c>
      <c r="H38" s="2">
        <v>133291</v>
      </c>
      <c r="I38" s="2">
        <v>1239</v>
      </c>
      <c r="Q38" s="5" t="s">
        <v>37</v>
      </c>
      <c r="R38" s="5" t="s">
        <v>36</v>
      </c>
      <c r="S38" s="5" t="s">
        <v>38</v>
      </c>
    </row>
    <row r="39" spans="1:19" x14ac:dyDescent="0.4">
      <c r="A39" s="2">
        <v>2022</v>
      </c>
      <c r="B39" s="2" t="s">
        <v>20</v>
      </c>
      <c r="C39" s="2">
        <v>107163842</v>
      </c>
      <c r="D39" s="2">
        <v>68059904</v>
      </c>
      <c r="E39" s="2">
        <v>32850877</v>
      </c>
      <c r="F39" s="2">
        <v>6253061</v>
      </c>
      <c r="G39" s="1">
        <v>306337</v>
      </c>
      <c r="H39" s="2">
        <v>89435</v>
      </c>
      <c r="I39" s="2">
        <v>-143</v>
      </c>
      <c r="P39" t="s">
        <v>42</v>
      </c>
      <c r="Q39" s="6">
        <v>548188041</v>
      </c>
      <c r="R39" s="6">
        <v>746531827</v>
      </c>
      <c r="S39" s="6">
        <v>85749923</v>
      </c>
    </row>
    <row r="40" spans="1:19" x14ac:dyDescent="0.4">
      <c r="A40" s="2">
        <v>2022</v>
      </c>
      <c r="B40" s="2" t="s">
        <v>21</v>
      </c>
      <c r="C40" s="2">
        <v>169324041</v>
      </c>
      <c r="D40" s="2">
        <v>64510577</v>
      </c>
      <c r="E40" s="2">
        <v>91948749</v>
      </c>
      <c r="F40" s="2">
        <v>12864715</v>
      </c>
      <c r="G40" s="1">
        <v>364638</v>
      </c>
      <c r="H40" s="2">
        <v>121250</v>
      </c>
      <c r="I40" s="2">
        <v>1870</v>
      </c>
    </row>
    <row r="41" spans="1:19" x14ac:dyDescent="0.4">
      <c r="A41" s="2">
        <v>2022</v>
      </c>
      <c r="B41" s="2" t="s">
        <v>22</v>
      </c>
      <c r="C41" s="2">
        <v>89458448</v>
      </c>
      <c r="D41" s="2">
        <v>49938837</v>
      </c>
      <c r="E41" s="2">
        <v>33236941</v>
      </c>
      <c r="F41" s="2">
        <v>6282670</v>
      </c>
      <c r="G41" s="1">
        <v>440881</v>
      </c>
      <c r="H41" s="2">
        <v>151251</v>
      </c>
      <c r="I41" s="2">
        <v>-375</v>
      </c>
    </row>
    <row r="42" spans="1:19" x14ac:dyDescent="0.4">
      <c r="A42" s="2">
        <v>2022</v>
      </c>
      <c r="B42" s="2" t="s">
        <v>23</v>
      </c>
      <c r="C42" s="2">
        <v>136615826</v>
      </c>
      <c r="D42" s="2">
        <v>55871596</v>
      </c>
      <c r="E42" s="2">
        <v>69470943</v>
      </c>
      <c r="F42" s="2">
        <v>11273287</v>
      </c>
      <c r="G42" s="1">
        <v>569166</v>
      </c>
      <c r="H42" s="2">
        <v>206352</v>
      </c>
      <c r="I42" s="2">
        <v>2106</v>
      </c>
    </row>
    <row r="43" spans="1:19" x14ac:dyDescent="0.4">
      <c r="A43" s="2">
        <v>2022</v>
      </c>
      <c r="B43" s="2" t="s">
        <v>24</v>
      </c>
      <c r="C43" s="2">
        <v>127504110</v>
      </c>
      <c r="D43" s="2">
        <v>61042525</v>
      </c>
      <c r="E43" s="2">
        <v>59580422</v>
      </c>
      <c r="F43" s="2">
        <v>6881163</v>
      </c>
      <c r="G43" s="1">
        <v>395315</v>
      </c>
      <c r="H43" s="2">
        <v>146040</v>
      </c>
      <c r="I43" s="2">
        <v>1373</v>
      </c>
    </row>
    <row r="44" spans="1:19" x14ac:dyDescent="0.4">
      <c r="A44" s="2">
        <v>2022</v>
      </c>
      <c r="B44" s="2" t="s">
        <v>25</v>
      </c>
      <c r="C44" s="2">
        <v>70056965</v>
      </c>
      <c r="D44" s="2">
        <v>45064854</v>
      </c>
      <c r="E44" s="2">
        <v>20465940</v>
      </c>
      <c r="F44" s="2">
        <v>4526171</v>
      </c>
      <c r="G44" s="1">
        <v>229642</v>
      </c>
      <c r="H44" s="2">
        <v>90508</v>
      </c>
      <c r="I44" s="2">
        <v>1563</v>
      </c>
    </row>
    <row r="45" spans="1:19" x14ac:dyDescent="0.4">
      <c r="A45" s="2">
        <v>2022</v>
      </c>
      <c r="B45" s="2" t="s">
        <v>26</v>
      </c>
      <c r="C45" s="2">
        <v>174830984</v>
      </c>
      <c r="D45" s="2">
        <v>69289958</v>
      </c>
      <c r="E45" s="2">
        <v>91890433</v>
      </c>
      <c r="F45" s="2">
        <v>13650593</v>
      </c>
      <c r="G45" s="1">
        <v>375675</v>
      </c>
      <c r="H45" s="2">
        <v>145946</v>
      </c>
      <c r="I45" s="2">
        <v>-679</v>
      </c>
    </row>
    <row r="46" spans="1:19" x14ac:dyDescent="0.4">
      <c r="A46" s="2">
        <v>2022</v>
      </c>
      <c r="B46" s="2" t="s">
        <v>27</v>
      </c>
      <c r="C46" s="2">
        <v>119187672</v>
      </c>
      <c r="D46" s="2">
        <v>62588194</v>
      </c>
      <c r="E46" s="2">
        <v>51528199</v>
      </c>
      <c r="F46" s="2">
        <v>5071279</v>
      </c>
      <c r="G46" s="1">
        <v>380596</v>
      </c>
      <c r="H46" s="2">
        <v>106263</v>
      </c>
      <c r="I46" s="2">
        <v>541</v>
      </c>
    </row>
    <row r="47" spans="1:19" x14ac:dyDescent="0.4">
      <c r="A47" s="2">
        <v>2022</v>
      </c>
      <c r="B47" s="2" t="s">
        <v>28</v>
      </c>
      <c r="C47" s="2">
        <v>183319578</v>
      </c>
      <c r="D47" s="2">
        <v>90076319</v>
      </c>
      <c r="E47" s="2">
        <v>84916033</v>
      </c>
      <c r="F47" s="2">
        <v>8327226</v>
      </c>
      <c r="G47" s="1">
        <v>486752</v>
      </c>
      <c r="H47" s="2">
        <v>118148</v>
      </c>
      <c r="I47" s="2">
        <v>-795</v>
      </c>
    </row>
    <row r="48" spans="1:19" x14ac:dyDescent="0.4">
      <c r="A48" s="2">
        <v>2022</v>
      </c>
      <c r="B48" s="2" t="s">
        <v>29</v>
      </c>
      <c r="C48" s="2">
        <v>209014453</v>
      </c>
      <c r="D48" s="2">
        <v>78195534</v>
      </c>
      <c r="E48" s="2">
        <v>117324071</v>
      </c>
      <c r="F48" s="2">
        <v>13494848</v>
      </c>
      <c r="G48" s="1">
        <v>404325</v>
      </c>
      <c r="H48" s="2">
        <v>176639</v>
      </c>
      <c r="I48" s="2">
        <v>-2139</v>
      </c>
    </row>
    <row r="49" spans="1:19" x14ac:dyDescent="0.4">
      <c r="A49" s="2">
        <v>2022</v>
      </c>
      <c r="B49" s="2" t="s">
        <v>30</v>
      </c>
      <c r="C49" s="2">
        <v>293965811</v>
      </c>
      <c r="D49" s="2">
        <v>103379977</v>
      </c>
      <c r="E49" s="2">
        <v>161272441</v>
      </c>
      <c r="F49" s="2">
        <v>29313393</v>
      </c>
      <c r="G49" s="1">
        <v>529102</v>
      </c>
      <c r="H49" s="2">
        <v>240480</v>
      </c>
      <c r="I49" s="2">
        <v>4684</v>
      </c>
    </row>
    <row r="50" spans="1:19" x14ac:dyDescent="0.4">
      <c r="A50" s="2">
        <v>2022</v>
      </c>
      <c r="B50" s="2" t="s">
        <v>31</v>
      </c>
      <c r="C50" s="2">
        <v>187955776</v>
      </c>
      <c r="D50" s="2">
        <v>67415209</v>
      </c>
      <c r="E50" s="2">
        <v>104523594</v>
      </c>
      <c r="F50" s="2">
        <v>16016973</v>
      </c>
      <c r="G50" s="1">
        <v>658801</v>
      </c>
      <c r="H50" s="2">
        <v>248750</v>
      </c>
      <c r="I50" s="2">
        <v>3185</v>
      </c>
    </row>
    <row r="51" spans="1:19" x14ac:dyDescent="0.4">
      <c r="A51" s="2">
        <v>2022</v>
      </c>
      <c r="B51" s="2" t="s">
        <v>32</v>
      </c>
      <c r="C51" s="2">
        <v>93924693</v>
      </c>
      <c r="D51" s="2">
        <v>35194304</v>
      </c>
      <c r="E51" s="2">
        <v>49416957</v>
      </c>
      <c r="F51" s="2">
        <v>9313432</v>
      </c>
      <c r="G51" s="1">
        <v>460067</v>
      </c>
      <c r="H51" s="2">
        <v>151875</v>
      </c>
      <c r="I51" s="2">
        <v>-128</v>
      </c>
    </row>
    <row r="52" spans="1:19" x14ac:dyDescent="0.4">
      <c r="A52" s="2">
        <v>2023</v>
      </c>
      <c r="B52" s="2" t="s">
        <v>8</v>
      </c>
      <c r="C52" s="2">
        <v>178567702</v>
      </c>
      <c r="D52" s="2">
        <v>70681425</v>
      </c>
      <c r="E52" s="2">
        <v>100748476</v>
      </c>
      <c r="F52" s="2">
        <v>7137801</v>
      </c>
      <c r="G52" s="1">
        <v>139417</v>
      </c>
      <c r="H52" s="2">
        <v>51000</v>
      </c>
      <c r="I52" s="2">
        <v>168</v>
      </c>
    </row>
    <row r="53" spans="1:19" x14ac:dyDescent="0.4">
      <c r="A53" s="2">
        <v>2023</v>
      </c>
      <c r="B53" s="2" t="s">
        <v>9</v>
      </c>
      <c r="C53" s="2">
        <v>202324327</v>
      </c>
      <c r="D53" s="2">
        <v>48721660</v>
      </c>
      <c r="E53" s="2">
        <v>144615589</v>
      </c>
      <c r="F53" s="2">
        <v>8987078</v>
      </c>
      <c r="G53" s="1">
        <v>121312</v>
      </c>
      <c r="H53" s="2">
        <v>57666</v>
      </c>
      <c r="I53" s="2">
        <v>-2415</v>
      </c>
    </row>
    <row r="54" spans="1:19" x14ac:dyDescent="0.4">
      <c r="A54" s="2">
        <v>2023</v>
      </c>
      <c r="B54" s="2" t="s">
        <v>10</v>
      </c>
      <c r="C54" s="2">
        <v>107760931</v>
      </c>
      <c r="D54" s="2">
        <v>54008803</v>
      </c>
      <c r="E54" s="2">
        <v>44222766</v>
      </c>
      <c r="F54" s="2">
        <v>9529362</v>
      </c>
      <c r="G54" s="1">
        <v>213151</v>
      </c>
      <c r="H54" s="2">
        <v>75436</v>
      </c>
      <c r="I54" s="2">
        <v>-3984</v>
      </c>
    </row>
    <row r="55" spans="1:19" x14ac:dyDescent="0.4">
      <c r="A55" s="2">
        <v>2023</v>
      </c>
      <c r="B55" s="2" t="s">
        <v>11</v>
      </c>
      <c r="C55" s="2">
        <v>111717923</v>
      </c>
      <c r="D55" s="2">
        <v>35237767</v>
      </c>
      <c r="E55" s="2">
        <v>70179191</v>
      </c>
      <c r="F55" s="2">
        <v>6300965</v>
      </c>
      <c r="G55" s="1">
        <v>277361</v>
      </c>
      <c r="H55" s="2">
        <v>104782</v>
      </c>
      <c r="I55" s="2">
        <v>-1253</v>
      </c>
    </row>
    <row r="56" spans="1:19" x14ac:dyDescent="0.4">
      <c r="A56" s="2">
        <v>2023</v>
      </c>
      <c r="B56" s="2" t="s">
        <v>12</v>
      </c>
      <c r="C56" s="2">
        <v>111528164</v>
      </c>
      <c r="D56" s="2">
        <v>34809718</v>
      </c>
      <c r="E56" s="2">
        <v>69506034</v>
      </c>
      <c r="F56" s="2">
        <v>7212412</v>
      </c>
      <c r="G56" s="1">
        <v>335554</v>
      </c>
      <c r="H56" s="2">
        <v>97936</v>
      </c>
      <c r="I56" s="2">
        <v>-1190</v>
      </c>
      <c r="Q56" s="5" t="s">
        <v>37</v>
      </c>
      <c r="R56" s="5" t="s">
        <v>36</v>
      </c>
      <c r="S56" s="5" t="s">
        <v>38</v>
      </c>
    </row>
    <row r="57" spans="1:19" x14ac:dyDescent="0.4">
      <c r="A57" s="2">
        <v>2023</v>
      </c>
      <c r="B57" s="2" t="s">
        <v>13</v>
      </c>
      <c r="C57" s="2">
        <v>111611079</v>
      </c>
      <c r="D57" s="2">
        <v>67437050</v>
      </c>
      <c r="E57" s="2">
        <v>37821239</v>
      </c>
      <c r="F57" s="2">
        <v>6352790</v>
      </c>
      <c r="G57" s="1">
        <v>341149</v>
      </c>
      <c r="H57" s="2">
        <v>99947</v>
      </c>
      <c r="I57" s="2">
        <v>1373</v>
      </c>
      <c r="P57" s="4" t="s">
        <v>19</v>
      </c>
      <c r="Q57" s="6">
        <v>248392278</v>
      </c>
      <c r="R57" s="6">
        <v>198821000</v>
      </c>
      <c r="S57" s="6">
        <v>26404351</v>
      </c>
    </row>
    <row r="58" spans="1:19" x14ac:dyDescent="0.4">
      <c r="A58" s="2">
        <v>2023</v>
      </c>
      <c r="B58" s="2" t="s">
        <v>14</v>
      </c>
      <c r="C58" s="2">
        <v>88060625</v>
      </c>
      <c r="D58" s="2">
        <v>48356010</v>
      </c>
      <c r="E58" s="2">
        <v>33835684</v>
      </c>
      <c r="F58" s="2">
        <v>5868931</v>
      </c>
      <c r="G58" s="1">
        <v>382155</v>
      </c>
      <c r="H58" s="2">
        <v>116523</v>
      </c>
      <c r="I58" s="2">
        <v>1562</v>
      </c>
    </row>
    <row r="59" spans="1:19" x14ac:dyDescent="0.4">
      <c r="A59" s="2">
        <v>2023</v>
      </c>
      <c r="B59" s="2" t="s">
        <v>15</v>
      </c>
      <c r="C59" s="2">
        <v>131105290</v>
      </c>
      <c r="D59" s="2">
        <v>79361062</v>
      </c>
      <c r="E59" s="2">
        <v>46809536</v>
      </c>
      <c r="F59" s="2">
        <v>4934692</v>
      </c>
      <c r="G59" s="1">
        <v>425602</v>
      </c>
      <c r="H59" s="2">
        <v>122811</v>
      </c>
      <c r="I59" s="2">
        <v>795</v>
      </c>
    </row>
    <row r="60" spans="1:19" x14ac:dyDescent="0.4">
      <c r="A60" s="2">
        <v>2023</v>
      </c>
      <c r="B60" s="2" t="s">
        <v>16</v>
      </c>
      <c r="C60" s="2">
        <v>95421485</v>
      </c>
      <c r="D60" s="2">
        <v>59000850</v>
      </c>
      <c r="E60" s="2">
        <v>32266378</v>
      </c>
      <c r="F60" s="2">
        <v>4154257</v>
      </c>
      <c r="G60" s="1">
        <v>288113</v>
      </c>
      <c r="H60" s="2">
        <v>75166</v>
      </c>
      <c r="I60" s="2">
        <v>18</v>
      </c>
    </row>
    <row r="61" spans="1:19" x14ac:dyDescent="0.4">
      <c r="A61" s="2">
        <v>2023</v>
      </c>
      <c r="B61" s="2" t="s">
        <v>17</v>
      </c>
      <c r="C61" s="2">
        <v>71661572</v>
      </c>
      <c r="D61" s="2">
        <v>39783107</v>
      </c>
      <c r="E61" s="2">
        <v>28321911</v>
      </c>
      <c r="F61" s="2">
        <v>3556554</v>
      </c>
      <c r="G61" s="1">
        <v>306948</v>
      </c>
      <c r="H61" s="2">
        <v>95623</v>
      </c>
      <c r="I61" s="2">
        <v>50</v>
      </c>
    </row>
    <row r="62" spans="1:19" x14ac:dyDescent="0.4">
      <c r="A62" s="2">
        <v>2023</v>
      </c>
      <c r="B62" s="2" t="s">
        <v>18</v>
      </c>
      <c r="C62" s="2">
        <v>119823856</v>
      </c>
      <c r="D62" s="2">
        <v>51726460</v>
      </c>
      <c r="E62" s="2">
        <v>61347921</v>
      </c>
      <c r="F62" s="2">
        <v>6749475</v>
      </c>
      <c r="G62" s="1">
        <v>498213</v>
      </c>
      <c r="H62" s="2">
        <v>152633</v>
      </c>
      <c r="I62" s="2">
        <v>328</v>
      </c>
    </row>
    <row r="63" spans="1:19" x14ac:dyDescent="0.4">
      <c r="A63" s="2">
        <v>2023</v>
      </c>
      <c r="B63" s="2" t="s">
        <v>19</v>
      </c>
      <c r="C63" s="2">
        <v>120374400</v>
      </c>
      <c r="D63" s="2">
        <v>63338467</v>
      </c>
      <c r="E63" s="2">
        <v>51822570</v>
      </c>
      <c r="F63" s="2">
        <v>5213363</v>
      </c>
      <c r="G63" s="1">
        <v>466770</v>
      </c>
      <c r="H63" s="2">
        <v>133469</v>
      </c>
      <c r="I63" s="2">
        <v>178</v>
      </c>
    </row>
    <row r="64" spans="1:19" x14ac:dyDescent="0.4">
      <c r="A64" s="2">
        <v>2023</v>
      </c>
      <c r="B64" s="2" t="s">
        <v>20</v>
      </c>
      <c r="C64" s="2">
        <v>113855153</v>
      </c>
      <c r="D64" s="2">
        <v>72292718</v>
      </c>
      <c r="E64" s="2">
        <v>36582300</v>
      </c>
      <c r="F64" s="2">
        <v>4980135</v>
      </c>
      <c r="G64" s="1">
        <v>306231</v>
      </c>
      <c r="H64" s="2">
        <v>91862</v>
      </c>
      <c r="I64" s="2">
        <v>2427</v>
      </c>
    </row>
    <row r="65" spans="1:9" x14ac:dyDescent="0.4">
      <c r="A65" s="2">
        <v>2023</v>
      </c>
      <c r="B65" s="2" t="s">
        <v>21</v>
      </c>
      <c r="C65" s="2">
        <v>182982275</v>
      </c>
      <c r="D65" s="2">
        <v>68374401</v>
      </c>
      <c r="E65" s="2">
        <v>103281308</v>
      </c>
      <c r="F65" s="2">
        <v>11326566</v>
      </c>
      <c r="G65" s="1">
        <v>363697</v>
      </c>
      <c r="H65" s="2">
        <v>122415</v>
      </c>
      <c r="I65" s="2">
        <v>1165</v>
      </c>
    </row>
    <row r="66" spans="1:9" x14ac:dyDescent="0.4">
      <c r="A66" s="2">
        <v>2023</v>
      </c>
      <c r="B66" s="2" t="s">
        <v>22</v>
      </c>
      <c r="C66" s="2">
        <v>91670267</v>
      </c>
      <c r="D66" s="2">
        <v>51701808</v>
      </c>
      <c r="E66" s="2">
        <v>35246960</v>
      </c>
      <c r="F66" s="2">
        <v>4721499</v>
      </c>
      <c r="G66" s="1">
        <v>436028</v>
      </c>
      <c r="H66" s="2">
        <v>151668</v>
      </c>
      <c r="I66" s="2">
        <v>417</v>
      </c>
    </row>
    <row r="67" spans="1:9" x14ac:dyDescent="0.4">
      <c r="A67" s="2">
        <v>2023</v>
      </c>
      <c r="B67" s="2" t="s">
        <v>23</v>
      </c>
      <c r="C67" s="2">
        <v>141725103</v>
      </c>
      <c r="D67" s="2">
        <v>57398643</v>
      </c>
      <c r="E67" s="2">
        <v>75470439</v>
      </c>
      <c r="F67" s="2">
        <v>8856021</v>
      </c>
      <c r="G67" s="1">
        <v>563058</v>
      </c>
      <c r="H67" s="2">
        <v>206104</v>
      </c>
      <c r="I67" s="2">
        <v>-248</v>
      </c>
    </row>
    <row r="68" spans="1:9" x14ac:dyDescent="0.4">
      <c r="A68" s="2">
        <v>2023</v>
      </c>
      <c r="B68" s="2" t="s">
        <v>24</v>
      </c>
      <c r="C68" s="2">
        <v>131422494</v>
      </c>
      <c r="D68" s="2">
        <v>62850315</v>
      </c>
      <c r="E68" s="2">
        <v>63065182</v>
      </c>
      <c r="F68" s="2">
        <v>5506997</v>
      </c>
      <c r="G68" s="1">
        <v>392405</v>
      </c>
      <c r="H68" s="2">
        <v>148719</v>
      </c>
      <c r="I68" s="2">
        <v>2679</v>
      </c>
    </row>
    <row r="69" spans="1:9" x14ac:dyDescent="0.4">
      <c r="A69" s="2">
        <v>2023</v>
      </c>
      <c r="B69" s="2" t="s">
        <v>25</v>
      </c>
      <c r="C69" s="2">
        <v>71105776</v>
      </c>
      <c r="D69" s="2">
        <v>46171676</v>
      </c>
      <c r="E69" s="2">
        <v>21372019</v>
      </c>
      <c r="F69" s="2">
        <v>3562081</v>
      </c>
      <c r="G69" s="1">
        <v>227481</v>
      </c>
      <c r="H69" s="2">
        <v>92223</v>
      </c>
      <c r="I69" s="2">
        <v>1715</v>
      </c>
    </row>
    <row r="70" spans="1:9" x14ac:dyDescent="0.4">
      <c r="A70" s="2">
        <v>2023</v>
      </c>
      <c r="B70" s="2" t="s">
        <v>26</v>
      </c>
      <c r="C70" s="2">
        <v>184031098</v>
      </c>
      <c r="D70" s="2">
        <v>72387873</v>
      </c>
      <c r="E70" s="2">
        <v>100244057</v>
      </c>
      <c r="F70" s="2">
        <v>11399168</v>
      </c>
      <c r="G70" s="1">
        <v>374794</v>
      </c>
      <c r="H70" s="2">
        <v>144662</v>
      </c>
      <c r="I70" s="2">
        <v>-1284</v>
      </c>
    </row>
    <row r="71" spans="1:9" x14ac:dyDescent="0.4">
      <c r="A71" s="2">
        <v>2023</v>
      </c>
      <c r="B71" s="2" t="s">
        <v>27</v>
      </c>
      <c r="C71" s="2">
        <v>122261047</v>
      </c>
      <c r="D71" s="2">
        <v>62446828</v>
      </c>
      <c r="E71" s="2">
        <v>55771179</v>
      </c>
      <c r="F71" s="2">
        <v>4043040</v>
      </c>
      <c r="G71" s="1">
        <v>378769</v>
      </c>
      <c r="H71" s="2">
        <v>106150</v>
      </c>
      <c r="I71" s="2">
        <v>-113</v>
      </c>
    </row>
    <row r="72" spans="1:9" x14ac:dyDescent="0.4">
      <c r="A72" s="2">
        <v>2023</v>
      </c>
      <c r="B72" s="2" t="s">
        <v>28</v>
      </c>
      <c r="C72" s="2">
        <v>186640714</v>
      </c>
      <c r="D72" s="2">
        <v>89284855</v>
      </c>
      <c r="E72" s="2">
        <v>90767121</v>
      </c>
      <c r="F72" s="2">
        <v>6588738</v>
      </c>
      <c r="G72" s="1">
        <v>481956</v>
      </c>
      <c r="H72" s="2">
        <v>118886</v>
      </c>
      <c r="I72" s="2">
        <v>738</v>
      </c>
    </row>
    <row r="73" spans="1:9" x14ac:dyDescent="0.4">
      <c r="A73" s="2">
        <v>2023</v>
      </c>
      <c r="B73" s="2" t="s">
        <v>29</v>
      </c>
      <c r="C73" s="2">
        <v>217494174</v>
      </c>
      <c r="D73" s="2">
        <v>78646999</v>
      </c>
      <c r="E73" s="2">
        <v>127350104</v>
      </c>
      <c r="F73" s="2">
        <v>11497071</v>
      </c>
      <c r="G73" s="1">
        <v>407664</v>
      </c>
      <c r="H73" s="2">
        <v>176137</v>
      </c>
      <c r="I73" s="2">
        <v>-502</v>
      </c>
    </row>
    <row r="74" spans="1:9" x14ac:dyDescent="0.4">
      <c r="A74" s="2">
        <v>2023</v>
      </c>
      <c r="B74" s="2" t="s">
        <v>30</v>
      </c>
      <c r="C74" s="2">
        <v>306070238</v>
      </c>
      <c r="D74" s="2">
        <v>104997484</v>
      </c>
      <c r="E74" s="2">
        <v>175606259</v>
      </c>
      <c r="F74" s="2">
        <v>25466495</v>
      </c>
      <c r="G74" s="1">
        <v>544873</v>
      </c>
      <c r="H74" s="2">
        <v>250445</v>
      </c>
      <c r="I74" s="2">
        <v>9965</v>
      </c>
    </row>
    <row r="75" spans="1:9" x14ac:dyDescent="0.4">
      <c r="A75" s="2">
        <v>2023</v>
      </c>
      <c r="B75" s="2" t="s">
        <v>31</v>
      </c>
      <c r="C75" s="2">
        <v>197679387</v>
      </c>
      <c r="D75" s="2">
        <v>69881907</v>
      </c>
      <c r="E75" s="2">
        <v>115250643</v>
      </c>
      <c r="F75" s="2">
        <v>12546837</v>
      </c>
      <c r="G75" s="1">
        <v>654166</v>
      </c>
      <c r="H75" s="2">
        <v>245597</v>
      </c>
      <c r="I75" s="2">
        <v>-3153</v>
      </c>
    </row>
    <row r="76" spans="1:9" x14ac:dyDescent="0.4">
      <c r="A76" s="2">
        <v>2023</v>
      </c>
      <c r="B76" s="2" t="s">
        <v>32</v>
      </c>
      <c r="C76" s="2">
        <v>94011660</v>
      </c>
      <c r="D76" s="2">
        <v>35282772</v>
      </c>
      <c r="E76" s="2">
        <v>51997375</v>
      </c>
      <c r="F76" s="2">
        <v>6731513</v>
      </c>
      <c r="G76" s="1">
        <v>459167</v>
      </c>
      <c r="H76" s="2">
        <v>153678</v>
      </c>
      <c r="I76" s="2">
        <v>1803</v>
      </c>
    </row>
    <row r="77" spans="1:9" x14ac:dyDescent="0.4">
      <c r="A77" s="2">
        <v>2024</v>
      </c>
      <c r="B77" s="2" t="s">
        <v>8</v>
      </c>
      <c r="C77" s="2">
        <v>186553232</v>
      </c>
      <c r="D77" s="2">
        <v>74208386</v>
      </c>
      <c r="E77" s="2">
        <v>103323781</v>
      </c>
      <c r="F77" s="2">
        <v>9021065</v>
      </c>
      <c r="G77" s="1">
        <v>138336</v>
      </c>
      <c r="H77" s="2">
        <v>50482</v>
      </c>
      <c r="I77" s="2">
        <v>-518</v>
      </c>
    </row>
    <row r="78" spans="1:9" x14ac:dyDescent="0.4">
      <c r="A78" s="2">
        <v>2024</v>
      </c>
      <c r="B78" s="2" t="s">
        <v>9</v>
      </c>
      <c r="C78" s="2">
        <v>216622466</v>
      </c>
      <c r="D78" s="2">
        <v>52435264</v>
      </c>
      <c r="E78" s="2">
        <v>152294765</v>
      </c>
      <c r="F78" s="2">
        <v>11892437</v>
      </c>
      <c r="G78" s="1">
        <v>120544</v>
      </c>
      <c r="H78" s="2">
        <v>54332</v>
      </c>
      <c r="I78" s="2">
        <v>-3334</v>
      </c>
    </row>
    <row r="79" spans="1:9" x14ac:dyDescent="0.4">
      <c r="A79" s="2">
        <v>2024</v>
      </c>
      <c r="B79" s="2" t="s">
        <v>10</v>
      </c>
      <c r="C79" s="2">
        <v>115155774</v>
      </c>
      <c r="D79" s="2">
        <v>56796253</v>
      </c>
      <c r="E79" s="2">
        <v>45863450</v>
      </c>
      <c r="F79" s="2">
        <v>12496071</v>
      </c>
      <c r="G79" s="1">
        <v>203854</v>
      </c>
      <c r="H79" s="2">
        <v>74001</v>
      </c>
      <c r="I79" s="2">
        <v>-1435</v>
      </c>
    </row>
    <row r="80" spans="1:9" x14ac:dyDescent="0.4">
      <c r="A80" s="2">
        <v>2024</v>
      </c>
      <c r="B80" s="2" t="s">
        <v>11</v>
      </c>
      <c r="C80" s="2">
        <v>118721700</v>
      </c>
      <c r="D80" s="2">
        <v>37079391</v>
      </c>
      <c r="E80" s="2">
        <v>73862010</v>
      </c>
      <c r="F80" s="2">
        <v>7780299</v>
      </c>
      <c r="G80" s="1">
        <v>273669</v>
      </c>
      <c r="H80" s="2">
        <v>104641</v>
      </c>
      <c r="I80" s="2">
        <v>-141</v>
      </c>
    </row>
    <row r="81" spans="1:9" x14ac:dyDescent="0.4">
      <c r="A81" s="2">
        <v>2024</v>
      </c>
      <c r="B81" s="2" t="s">
        <v>12</v>
      </c>
      <c r="C81" s="2">
        <v>115686552</v>
      </c>
      <c r="D81" s="2">
        <v>36851896</v>
      </c>
      <c r="E81" s="2">
        <v>70329994</v>
      </c>
      <c r="F81" s="2">
        <v>8504662</v>
      </c>
      <c r="G81" s="1">
        <v>331963</v>
      </c>
      <c r="H81" s="2">
        <v>97218</v>
      </c>
      <c r="I81" s="2">
        <v>-718</v>
      </c>
    </row>
    <row r="82" spans="1:9" x14ac:dyDescent="0.4">
      <c r="A82" s="2">
        <v>2024</v>
      </c>
      <c r="B82" s="2" t="s">
        <v>13</v>
      </c>
      <c r="C82" s="2">
        <v>117287598</v>
      </c>
      <c r="D82" s="2">
        <v>70686857</v>
      </c>
      <c r="E82" s="2">
        <v>39182683</v>
      </c>
      <c r="F82" s="2">
        <v>7418058</v>
      </c>
      <c r="G82" s="1">
        <v>338735</v>
      </c>
      <c r="H82" s="2">
        <v>102749</v>
      </c>
      <c r="I82" s="2">
        <v>2802</v>
      </c>
    </row>
    <row r="83" spans="1:9" x14ac:dyDescent="0.4">
      <c r="A83" s="2">
        <v>2024</v>
      </c>
      <c r="B83" s="2" t="s">
        <v>14</v>
      </c>
      <c r="C83" s="2">
        <v>90693667</v>
      </c>
      <c r="D83" s="2">
        <v>49857596</v>
      </c>
      <c r="E83" s="2">
        <v>34271820</v>
      </c>
      <c r="F83" s="2">
        <v>6564251</v>
      </c>
      <c r="G83" s="1">
        <v>379274</v>
      </c>
      <c r="H83" s="2">
        <v>116575</v>
      </c>
      <c r="I83" s="2">
        <v>52</v>
      </c>
    </row>
    <row r="84" spans="1:9" x14ac:dyDescent="0.4">
      <c r="A84" s="2">
        <v>2024</v>
      </c>
      <c r="B84" s="2" t="s">
        <v>15</v>
      </c>
      <c r="C84" s="2">
        <v>135254268</v>
      </c>
      <c r="D84" s="2">
        <v>81559692</v>
      </c>
      <c r="E84" s="2">
        <v>47802034</v>
      </c>
      <c r="F84" s="2">
        <v>5892542</v>
      </c>
      <c r="G84" s="1">
        <v>421560</v>
      </c>
      <c r="H84" s="2">
        <v>122135</v>
      </c>
      <c r="I84" s="2">
        <v>-676</v>
      </c>
    </row>
    <row r="85" spans="1:9" x14ac:dyDescent="0.4">
      <c r="A85" s="2">
        <v>2024</v>
      </c>
      <c r="B85" s="2" t="s">
        <v>16</v>
      </c>
      <c r="C85" s="2">
        <v>97599102</v>
      </c>
      <c r="D85" s="2">
        <v>60149464</v>
      </c>
      <c r="E85" s="2">
        <v>32634332</v>
      </c>
      <c r="F85" s="2">
        <v>4815306</v>
      </c>
      <c r="G85" s="1">
        <v>283597</v>
      </c>
      <c r="H85" s="2">
        <v>74169</v>
      </c>
      <c r="I85" s="2">
        <v>-997</v>
      </c>
    </row>
    <row r="86" spans="1:9" x14ac:dyDescent="0.4">
      <c r="A86" s="2">
        <v>2024</v>
      </c>
      <c r="B86" s="2" t="s">
        <v>17</v>
      </c>
      <c r="C86" s="2">
        <v>74280229</v>
      </c>
      <c r="D86" s="2">
        <v>40702065</v>
      </c>
      <c r="E86" s="2">
        <v>29260920</v>
      </c>
      <c r="F86" s="2">
        <v>4317244</v>
      </c>
      <c r="G86" s="1">
        <v>303228</v>
      </c>
      <c r="H86" s="2">
        <v>94946</v>
      </c>
      <c r="I86" s="2">
        <v>-677</v>
      </c>
    </row>
    <row r="87" spans="1:9" x14ac:dyDescent="0.4">
      <c r="A87" s="2">
        <v>2024</v>
      </c>
      <c r="B87" s="2" t="s">
        <v>18</v>
      </c>
      <c r="C87" s="2">
        <v>127177261</v>
      </c>
      <c r="D87" s="2">
        <v>53541282</v>
      </c>
      <c r="E87" s="2">
        <v>65760380</v>
      </c>
      <c r="F87" s="2">
        <v>7875599</v>
      </c>
      <c r="G87" s="1">
        <v>491247</v>
      </c>
      <c r="H87" s="2">
        <v>152155</v>
      </c>
      <c r="I87" s="2">
        <v>-478</v>
      </c>
    </row>
    <row r="88" spans="1:9" x14ac:dyDescent="0.4">
      <c r="A88" s="2">
        <v>2024</v>
      </c>
      <c r="B88" s="2" t="s">
        <v>19</v>
      </c>
      <c r="C88" s="2">
        <v>124945537</v>
      </c>
      <c r="D88" s="2">
        <v>65746264</v>
      </c>
      <c r="E88" s="2">
        <v>52739892</v>
      </c>
      <c r="F88" s="2">
        <v>6459381</v>
      </c>
      <c r="G88" s="1">
        <v>460919</v>
      </c>
      <c r="H88" s="2">
        <v>135047</v>
      </c>
      <c r="I88" s="2">
        <v>1578</v>
      </c>
    </row>
    <row r="89" spans="1:9" x14ac:dyDescent="0.4">
      <c r="A89" s="2">
        <v>2024</v>
      </c>
      <c r="B89" s="2" t="s">
        <v>20</v>
      </c>
      <c r="C89" s="2">
        <v>118572562</v>
      </c>
      <c r="D89" s="2">
        <v>75152493</v>
      </c>
      <c r="E89" s="2">
        <v>37369540</v>
      </c>
      <c r="F89" s="2">
        <v>6050529</v>
      </c>
      <c r="G89" s="1">
        <v>302853</v>
      </c>
      <c r="H89" s="2">
        <v>91650</v>
      </c>
      <c r="I89" s="2">
        <v>-212</v>
      </c>
    </row>
    <row r="90" spans="1:9" x14ac:dyDescent="0.4">
      <c r="A90" s="2">
        <v>2024</v>
      </c>
      <c r="B90" s="2" t="s">
        <v>21</v>
      </c>
      <c r="C90" s="2">
        <v>193806111</v>
      </c>
      <c r="D90" s="2">
        <v>71954538</v>
      </c>
      <c r="E90" s="2">
        <v>107502551</v>
      </c>
      <c r="F90" s="2">
        <v>14349022</v>
      </c>
      <c r="G90" s="1">
        <v>361417</v>
      </c>
      <c r="H90" s="2">
        <v>121943</v>
      </c>
      <c r="I90" s="2">
        <v>-472</v>
      </c>
    </row>
    <row r="91" spans="1:9" x14ac:dyDescent="0.4">
      <c r="A91" s="2">
        <v>2024</v>
      </c>
      <c r="B91" s="2" t="s">
        <v>22</v>
      </c>
      <c r="C91" s="2">
        <v>94359714</v>
      </c>
      <c r="D91" s="2">
        <v>52935254</v>
      </c>
      <c r="E91" s="2">
        <v>35719191</v>
      </c>
      <c r="F91" s="2">
        <v>5705269</v>
      </c>
      <c r="G91" s="1">
        <v>430976</v>
      </c>
      <c r="H91" s="2">
        <v>151189</v>
      </c>
      <c r="I91" s="2">
        <v>-479</v>
      </c>
    </row>
    <row r="92" spans="1:9" x14ac:dyDescent="0.4">
      <c r="A92" s="2">
        <v>2024</v>
      </c>
      <c r="B92" s="2" t="s">
        <v>23</v>
      </c>
      <c r="C92" s="2">
        <v>147998353</v>
      </c>
      <c r="D92" s="2">
        <v>58712738</v>
      </c>
      <c r="E92" s="2">
        <v>78419782</v>
      </c>
      <c r="F92" s="2">
        <v>10865833</v>
      </c>
      <c r="G92" s="1">
        <v>556171</v>
      </c>
      <c r="H92" s="2">
        <v>204600</v>
      </c>
      <c r="I92" s="2">
        <v>-1504</v>
      </c>
    </row>
    <row r="93" spans="1:9" x14ac:dyDescent="0.4">
      <c r="A93" s="2">
        <v>2024</v>
      </c>
      <c r="B93" s="2" t="s">
        <v>24</v>
      </c>
      <c r="C93" s="2">
        <v>134451191</v>
      </c>
      <c r="D93" s="2">
        <v>64242239</v>
      </c>
      <c r="E93" s="2">
        <v>63648432</v>
      </c>
      <c r="F93" s="2">
        <v>6560520</v>
      </c>
      <c r="G93" s="1">
        <v>388169</v>
      </c>
      <c r="H93" s="2">
        <v>147678</v>
      </c>
      <c r="I93" s="2">
        <v>-1041</v>
      </c>
    </row>
    <row r="94" spans="1:9" x14ac:dyDescent="0.4">
      <c r="A94" s="2">
        <v>2024</v>
      </c>
      <c r="B94" s="2" t="s">
        <v>25</v>
      </c>
      <c r="C94" s="2">
        <v>71518788</v>
      </c>
      <c r="D94" s="2">
        <v>45829736</v>
      </c>
      <c r="E94" s="2">
        <v>21506116</v>
      </c>
      <c r="F94" s="2">
        <v>4182936</v>
      </c>
      <c r="G94" s="1">
        <v>225159</v>
      </c>
      <c r="H94" s="2">
        <v>91975</v>
      </c>
      <c r="I94" s="2">
        <v>-248</v>
      </c>
    </row>
    <row r="95" spans="1:9" x14ac:dyDescent="0.4">
      <c r="A95" s="2">
        <v>2024</v>
      </c>
      <c r="B95" s="2" t="s">
        <v>26</v>
      </c>
      <c r="C95" s="2">
        <v>192291682</v>
      </c>
      <c r="D95" s="2">
        <v>74379751</v>
      </c>
      <c r="E95" s="2">
        <v>103831744</v>
      </c>
      <c r="F95" s="2">
        <v>14080187</v>
      </c>
      <c r="G95" s="1">
        <v>373773</v>
      </c>
      <c r="H95" s="2">
        <v>144665</v>
      </c>
      <c r="I95" s="2">
        <v>3</v>
      </c>
    </row>
    <row r="96" spans="1:9" x14ac:dyDescent="0.4">
      <c r="A96" s="2">
        <v>2024</v>
      </c>
      <c r="B96" s="2" t="s">
        <v>27</v>
      </c>
      <c r="C96" s="2">
        <v>127517515</v>
      </c>
      <c r="D96" s="2">
        <v>65399210</v>
      </c>
      <c r="E96" s="2">
        <v>57208566</v>
      </c>
      <c r="F96" s="2">
        <v>4909739</v>
      </c>
      <c r="G96" s="1">
        <v>375799</v>
      </c>
      <c r="H96" s="2">
        <v>106362</v>
      </c>
      <c r="I96" s="2">
        <v>212</v>
      </c>
    </row>
    <row r="97" spans="1:9" x14ac:dyDescent="0.4">
      <c r="A97" s="2">
        <v>2024</v>
      </c>
      <c r="B97" s="2" t="s">
        <v>28</v>
      </c>
      <c r="C97" s="2">
        <v>191528043</v>
      </c>
      <c r="D97" s="2">
        <v>91648849</v>
      </c>
      <c r="E97" s="2">
        <v>92102308</v>
      </c>
      <c r="F97" s="2">
        <v>7776886</v>
      </c>
      <c r="G97" s="1">
        <v>477812</v>
      </c>
      <c r="H97" s="2">
        <v>117936</v>
      </c>
      <c r="I97" s="2">
        <v>-950</v>
      </c>
    </row>
    <row r="98" spans="1:9" x14ac:dyDescent="0.4">
      <c r="A98" s="2">
        <v>2024</v>
      </c>
      <c r="B98" s="2" t="s">
        <v>29</v>
      </c>
      <c r="C98" s="2">
        <v>225955483</v>
      </c>
      <c r="D98" s="2">
        <v>81739104</v>
      </c>
      <c r="E98" s="2">
        <v>130172545</v>
      </c>
      <c r="F98" s="2">
        <v>14043834</v>
      </c>
      <c r="G98" s="1">
        <v>408376</v>
      </c>
      <c r="H98" s="2">
        <v>176628</v>
      </c>
      <c r="I98" s="2">
        <v>491</v>
      </c>
    </row>
    <row r="99" spans="1:9" x14ac:dyDescent="0.4">
      <c r="A99" s="2">
        <v>2024</v>
      </c>
      <c r="B99" s="2" t="s">
        <v>30</v>
      </c>
      <c r="C99" s="2">
        <v>322927844</v>
      </c>
      <c r="D99" s="2">
        <v>111266706</v>
      </c>
      <c r="E99" s="2">
        <v>179953430</v>
      </c>
      <c r="F99" s="2">
        <v>31707708</v>
      </c>
      <c r="G99" s="1">
        <v>557345</v>
      </c>
      <c r="H99" s="2">
        <v>256099</v>
      </c>
      <c r="I99" s="2">
        <v>5654</v>
      </c>
    </row>
    <row r="100" spans="1:9" x14ac:dyDescent="0.4">
      <c r="A100" s="2">
        <v>2024</v>
      </c>
      <c r="B100" s="2" t="s">
        <v>31</v>
      </c>
      <c r="C100" s="2">
        <v>208052956</v>
      </c>
      <c r="D100" s="2">
        <v>71926631</v>
      </c>
      <c r="E100" s="2">
        <v>120662352</v>
      </c>
      <c r="F100" s="2">
        <v>15463973</v>
      </c>
      <c r="G100" s="1">
        <v>650110</v>
      </c>
      <c r="H100" s="2">
        <v>244079</v>
      </c>
      <c r="I100" s="2">
        <v>-1518</v>
      </c>
    </row>
    <row r="101" spans="1:9" x14ac:dyDescent="0.4">
      <c r="A101" s="2">
        <v>2024</v>
      </c>
      <c r="B101" s="2" t="s">
        <v>32</v>
      </c>
      <c r="C101" s="2">
        <v>102160042</v>
      </c>
      <c r="D101" s="2">
        <v>38033929</v>
      </c>
      <c r="E101" s="2">
        <v>55794880</v>
      </c>
      <c r="F101" s="2">
        <v>8331233</v>
      </c>
      <c r="G101" s="1">
        <v>476942</v>
      </c>
      <c r="H101" s="2">
        <v>154522</v>
      </c>
      <c r="I101" s="2">
        <v>844</v>
      </c>
    </row>
  </sheetData>
  <phoneticPr fontId="18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19FA-BB7E-4AE2-9E82-F163DFFD9BFD}">
  <dimension ref="A1:P101"/>
  <sheetViews>
    <sheetView topLeftCell="J34" zoomScale="85" zoomScaleNormal="85" workbookViewId="0">
      <selection activeCell="T91" sqref="T91"/>
    </sheetView>
  </sheetViews>
  <sheetFormatPr defaultRowHeight="17.399999999999999" x14ac:dyDescent="0.4"/>
  <cols>
    <col min="3" max="3" width="10.3984375" bestFit="1" customWidth="1"/>
    <col min="5" max="5" width="10.3984375" bestFit="1" customWidth="1"/>
    <col min="6" max="6" width="9.3984375" bestFit="1" customWidth="1"/>
    <col min="8" max="8" width="15.19921875" bestFit="1" customWidth="1"/>
    <col min="9" max="9" width="19.796875" bestFit="1" customWidth="1"/>
    <col min="11" max="12" width="13.69921875" bestFit="1" customWidth="1"/>
    <col min="13" max="19" width="11.8984375" bestFit="1" customWidth="1"/>
    <col min="20" max="20" width="18.5" bestFit="1" customWidth="1"/>
    <col min="21" max="21" width="16.296875" bestFit="1" customWidth="1"/>
    <col min="22" max="23" width="11.19921875" bestFit="1" customWidth="1"/>
    <col min="24" max="24" width="16" bestFit="1" customWidth="1"/>
    <col min="25" max="25" width="18.09765625" bestFit="1" customWidth="1"/>
    <col min="26" max="26" width="16" bestFit="1" customWidth="1"/>
  </cols>
  <sheetData>
    <row r="1" spans="1:1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</row>
    <row r="2" spans="1:16" x14ac:dyDescent="0.4">
      <c r="A2" s="2">
        <v>2021</v>
      </c>
      <c r="B2" s="2" t="s">
        <v>8</v>
      </c>
      <c r="C2" s="2">
        <v>141759969</v>
      </c>
      <c r="D2" s="2">
        <v>57821751</v>
      </c>
      <c r="E2" s="2">
        <v>75771163</v>
      </c>
      <c r="F2" s="2">
        <v>8167055</v>
      </c>
      <c r="G2" s="1">
        <v>144683</v>
      </c>
      <c r="H2" s="2">
        <v>50049</v>
      </c>
      <c r="I2" s="2">
        <v>-11</v>
      </c>
      <c r="K2" s="3" t="s">
        <v>37</v>
      </c>
      <c r="L2" s="3" t="s">
        <v>39</v>
      </c>
    </row>
    <row r="3" spans="1:16" x14ac:dyDescent="0.4">
      <c r="A3" s="2">
        <v>2021</v>
      </c>
      <c r="B3" s="2" t="s">
        <v>9</v>
      </c>
      <c r="C3" s="2">
        <v>149856039</v>
      </c>
      <c r="D3" s="2">
        <v>39190006</v>
      </c>
      <c r="E3" s="2">
        <v>100938579</v>
      </c>
      <c r="F3" s="2">
        <v>9727454</v>
      </c>
      <c r="G3" s="1">
        <v>122499</v>
      </c>
      <c r="H3" s="2">
        <v>53107</v>
      </c>
      <c r="I3" s="2">
        <v>1947</v>
      </c>
      <c r="K3" s="3" t="s">
        <v>34</v>
      </c>
      <c r="L3">
        <v>2021</v>
      </c>
      <c r="M3">
        <v>2022</v>
      </c>
      <c r="N3">
        <v>2023</v>
      </c>
      <c r="O3">
        <v>2024</v>
      </c>
      <c r="P3" t="s">
        <v>35</v>
      </c>
    </row>
    <row r="4" spans="1:16" x14ac:dyDescent="0.4">
      <c r="A4" s="2">
        <v>2021</v>
      </c>
      <c r="B4" s="2" t="s">
        <v>10</v>
      </c>
      <c r="C4" s="2">
        <v>87031985</v>
      </c>
      <c r="D4" s="2">
        <v>43905878</v>
      </c>
      <c r="E4" s="2">
        <v>32335411</v>
      </c>
      <c r="F4" s="2">
        <v>10790696</v>
      </c>
      <c r="G4" s="1">
        <v>222953</v>
      </c>
      <c r="H4" s="2">
        <v>79486</v>
      </c>
      <c r="I4" s="2">
        <v>3005</v>
      </c>
      <c r="K4" s="4" t="s">
        <v>30</v>
      </c>
      <c r="L4" s="6">
        <v>93477395</v>
      </c>
      <c r="M4" s="6">
        <v>103379977</v>
      </c>
      <c r="N4" s="6">
        <v>104997484</v>
      </c>
      <c r="O4" s="6">
        <v>111266706</v>
      </c>
      <c r="P4" s="6">
        <v>413121562</v>
      </c>
    </row>
    <row r="5" spans="1:16" x14ac:dyDescent="0.4">
      <c r="A5" s="2">
        <v>2021</v>
      </c>
      <c r="B5" s="2" t="s">
        <v>11</v>
      </c>
      <c r="C5" s="2">
        <v>96087425</v>
      </c>
      <c r="D5" s="2">
        <v>31552270</v>
      </c>
      <c r="E5" s="2">
        <v>56470250</v>
      </c>
      <c r="F5" s="2">
        <v>8064905</v>
      </c>
      <c r="G5" s="1">
        <v>285990</v>
      </c>
      <c r="H5" s="2">
        <v>106435</v>
      </c>
      <c r="I5" s="2">
        <v>905</v>
      </c>
      <c r="K5" s="4" t="s">
        <v>32</v>
      </c>
      <c r="L5" s="6">
        <v>32292610</v>
      </c>
      <c r="M5" s="6">
        <v>35194304</v>
      </c>
      <c r="N5" s="6">
        <v>35282772</v>
      </c>
      <c r="O5" s="6">
        <v>38033929</v>
      </c>
      <c r="P5" s="6">
        <v>140803615</v>
      </c>
    </row>
    <row r="6" spans="1:16" x14ac:dyDescent="0.4">
      <c r="A6" s="2">
        <v>2021</v>
      </c>
      <c r="B6" s="2" t="s">
        <v>12</v>
      </c>
      <c r="C6" s="2">
        <v>95731490</v>
      </c>
      <c r="D6" s="2">
        <v>29859594</v>
      </c>
      <c r="E6" s="2">
        <v>56633974</v>
      </c>
      <c r="F6" s="2">
        <v>9237922</v>
      </c>
      <c r="G6" s="1">
        <v>339996</v>
      </c>
      <c r="H6" s="2">
        <v>98658</v>
      </c>
      <c r="I6" s="2">
        <v>-114</v>
      </c>
      <c r="K6" s="4" t="s">
        <v>16</v>
      </c>
      <c r="L6" s="6">
        <v>54255008</v>
      </c>
      <c r="M6" s="6">
        <v>57994006</v>
      </c>
      <c r="N6" s="6">
        <v>59000850</v>
      </c>
      <c r="O6" s="6">
        <v>60149464</v>
      </c>
      <c r="P6" s="6">
        <v>231399328</v>
      </c>
    </row>
    <row r="7" spans="1:16" x14ac:dyDescent="0.4">
      <c r="A7" s="2">
        <v>2021</v>
      </c>
      <c r="B7" s="2" t="s">
        <v>13</v>
      </c>
      <c r="C7" s="2">
        <v>97942712</v>
      </c>
      <c r="D7" s="2">
        <v>57791744</v>
      </c>
      <c r="E7" s="2">
        <v>31218408</v>
      </c>
      <c r="F7" s="2">
        <v>8932560</v>
      </c>
      <c r="G7" s="1">
        <v>337400</v>
      </c>
      <c r="H7" s="2">
        <v>98170</v>
      </c>
      <c r="I7" s="2">
        <v>352</v>
      </c>
      <c r="K7" s="4" t="s">
        <v>23</v>
      </c>
      <c r="L7" s="6">
        <v>52107668</v>
      </c>
      <c r="M7" s="6">
        <v>55871596</v>
      </c>
      <c r="N7" s="6">
        <v>57398643</v>
      </c>
      <c r="O7" s="6">
        <v>58712738</v>
      </c>
      <c r="P7" s="6">
        <v>224090645</v>
      </c>
    </row>
    <row r="8" spans="1:16" x14ac:dyDescent="0.4">
      <c r="A8" s="2">
        <v>2021</v>
      </c>
      <c r="B8" s="2" t="s">
        <v>14</v>
      </c>
      <c r="C8" s="2">
        <v>79293944</v>
      </c>
      <c r="D8" s="2">
        <v>41568031</v>
      </c>
      <c r="E8" s="2">
        <v>29571182</v>
      </c>
      <c r="F8" s="2">
        <v>8154731</v>
      </c>
      <c r="G8" s="1">
        <v>387350</v>
      </c>
      <c r="H8" s="2">
        <v>114237</v>
      </c>
      <c r="I8" s="2">
        <v>2120</v>
      </c>
      <c r="K8" s="4" t="s">
        <v>28</v>
      </c>
      <c r="L8" s="6">
        <v>81960533</v>
      </c>
      <c r="M8" s="6">
        <v>90076319</v>
      </c>
      <c r="N8" s="6">
        <v>89284855</v>
      </c>
      <c r="O8" s="6">
        <v>91648849</v>
      </c>
      <c r="P8" s="6">
        <v>352970556</v>
      </c>
    </row>
    <row r="9" spans="1:16" x14ac:dyDescent="0.4">
      <c r="A9" s="2">
        <v>2021</v>
      </c>
      <c r="B9" s="2" t="s">
        <v>15</v>
      </c>
      <c r="C9" s="2">
        <v>112791260</v>
      </c>
      <c r="D9" s="2">
        <v>67929727</v>
      </c>
      <c r="E9" s="2">
        <v>37822410</v>
      </c>
      <c r="F9" s="2">
        <v>7039123</v>
      </c>
      <c r="G9" s="1">
        <v>430528</v>
      </c>
      <c r="H9" s="2">
        <v>120909</v>
      </c>
      <c r="I9" s="2">
        <v>1727</v>
      </c>
      <c r="K9" s="4" t="s">
        <v>12</v>
      </c>
      <c r="L9" s="6">
        <v>29859594</v>
      </c>
      <c r="M9" s="6">
        <v>33234902</v>
      </c>
      <c r="N9" s="6">
        <v>34809718</v>
      </c>
      <c r="O9" s="6">
        <v>36851896</v>
      </c>
      <c r="P9" s="6">
        <v>134756110</v>
      </c>
    </row>
    <row r="10" spans="1:16" x14ac:dyDescent="0.4">
      <c r="A10" s="2">
        <v>2021</v>
      </c>
      <c r="B10" s="2" t="s">
        <v>16</v>
      </c>
      <c r="C10" s="2">
        <v>88255787</v>
      </c>
      <c r="D10" s="2">
        <v>54255008</v>
      </c>
      <c r="E10" s="2">
        <v>28068271</v>
      </c>
      <c r="F10" s="2">
        <v>5932508</v>
      </c>
      <c r="G10" s="1">
        <v>299182</v>
      </c>
      <c r="H10" s="2">
        <v>75570</v>
      </c>
      <c r="I10" s="2">
        <v>-511</v>
      </c>
      <c r="K10" s="4" t="s">
        <v>24</v>
      </c>
      <c r="L10" s="6">
        <v>60237240</v>
      </c>
      <c r="M10" s="6">
        <v>61042525</v>
      </c>
      <c r="N10" s="6">
        <v>62850315</v>
      </c>
      <c r="O10" s="6">
        <v>64242239</v>
      </c>
      <c r="P10" s="6">
        <v>248372319</v>
      </c>
    </row>
    <row r="11" spans="1:16" x14ac:dyDescent="0.4">
      <c r="A11" s="2">
        <v>2021</v>
      </c>
      <c r="B11" s="2" t="s">
        <v>17</v>
      </c>
      <c r="C11" s="2">
        <v>67739876</v>
      </c>
      <c r="D11" s="2">
        <v>37019485</v>
      </c>
      <c r="E11" s="2">
        <v>25198610</v>
      </c>
      <c r="F11" s="2">
        <v>5521781</v>
      </c>
      <c r="G11" s="1">
        <v>317366</v>
      </c>
      <c r="H11" s="2">
        <v>95462</v>
      </c>
      <c r="I11" s="2">
        <v>-389</v>
      </c>
      <c r="K11" s="4" t="s">
        <v>25</v>
      </c>
      <c r="L11" s="6">
        <v>42139004</v>
      </c>
      <c r="M11" s="6">
        <v>45064854</v>
      </c>
      <c r="N11" s="6">
        <v>46171676</v>
      </c>
      <c r="O11" s="6">
        <v>45829736</v>
      </c>
      <c r="P11" s="6">
        <v>179205270</v>
      </c>
    </row>
    <row r="12" spans="1:16" x14ac:dyDescent="0.4">
      <c r="A12" s="2">
        <v>2021</v>
      </c>
      <c r="B12" s="2" t="s">
        <v>18</v>
      </c>
      <c r="C12" s="2">
        <v>108740071</v>
      </c>
      <c r="D12" s="2">
        <v>46165813</v>
      </c>
      <c r="E12" s="2">
        <v>52909026</v>
      </c>
      <c r="F12" s="2">
        <v>9665232</v>
      </c>
      <c r="G12" s="1">
        <v>510956</v>
      </c>
      <c r="H12" s="2">
        <v>152701</v>
      </c>
      <c r="I12" s="2">
        <v>533</v>
      </c>
      <c r="K12" s="4" t="s">
        <v>18</v>
      </c>
      <c r="L12" s="6">
        <v>46165813</v>
      </c>
      <c r="M12" s="6">
        <v>50579231</v>
      </c>
      <c r="N12" s="6">
        <v>51726460</v>
      </c>
      <c r="O12" s="6">
        <v>53541282</v>
      </c>
      <c r="P12" s="6">
        <v>202012786</v>
      </c>
    </row>
    <row r="13" spans="1:16" x14ac:dyDescent="0.4">
      <c r="A13" s="2">
        <v>2021</v>
      </c>
      <c r="B13" s="2" t="s">
        <v>19</v>
      </c>
      <c r="C13" s="2">
        <v>110416503</v>
      </c>
      <c r="D13" s="2">
        <v>57517380</v>
      </c>
      <c r="E13" s="2">
        <v>45319869</v>
      </c>
      <c r="F13" s="2">
        <v>7579254</v>
      </c>
      <c r="G13" s="1">
        <v>473307</v>
      </c>
      <c r="H13" s="2">
        <v>132052</v>
      </c>
      <c r="I13" s="2">
        <v>2789</v>
      </c>
      <c r="K13" s="4" t="s">
        <v>17</v>
      </c>
      <c r="L13" s="6">
        <v>37019485</v>
      </c>
      <c r="M13" s="6">
        <v>38900295</v>
      </c>
      <c r="N13" s="6">
        <v>39783107</v>
      </c>
      <c r="O13" s="6">
        <v>40702065</v>
      </c>
      <c r="P13" s="6">
        <v>156404952</v>
      </c>
    </row>
    <row r="14" spans="1:16" x14ac:dyDescent="0.4">
      <c r="A14" s="2">
        <v>2021</v>
      </c>
      <c r="B14" s="2" t="s">
        <v>20</v>
      </c>
      <c r="C14" s="2">
        <v>95958124</v>
      </c>
      <c r="D14" s="2">
        <v>60695355</v>
      </c>
      <c r="E14" s="2">
        <v>28742860</v>
      </c>
      <c r="F14" s="2">
        <v>6519909</v>
      </c>
      <c r="G14" s="1">
        <v>304819</v>
      </c>
      <c r="H14" s="2">
        <v>89578</v>
      </c>
      <c r="I14" s="2">
        <v>1541</v>
      </c>
      <c r="K14" s="4" t="s">
        <v>13</v>
      </c>
      <c r="L14" s="6">
        <v>57791744</v>
      </c>
      <c r="M14" s="6">
        <v>63284045</v>
      </c>
      <c r="N14" s="6">
        <v>67437050</v>
      </c>
      <c r="O14" s="6">
        <v>70686857</v>
      </c>
      <c r="P14" s="6">
        <v>259199696</v>
      </c>
    </row>
    <row r="15" spans="1:16" x14ac:dyDescent="0.4">
      <c r="A15" s="2">
        <v>2021</v>
      </c>
      <c r="B15" s="2" t="s">
        <v>21</v>
      </c>
      <c r="C15" s="2">
        <v>148131112</v>
      </c>
      <c r="D15" s="2">
        <v>56944960</v>
      </c>
      <c r="E15" s="2">
        <v>78992624</v>
      </c>
      <c r="F15" s="2">
        <v>12193528</v>
      </c>
      <c r="G15" s="1">
        <v>368905</v>
      </c>
      <c r="H15" s="2">
        <v>119380</v>
      </c>
      <c r="I15" s="2">
        <v>1069</v>
      </c>
      <c r="K15" s="4" t="s">
        <v>27</v>
      </c>
      <c r="L15" s="6">
        <v>58188663</v>
      </c>
      <c r="M15" s="6">
        <v>62588194</v>
      </c>
      <c r="N15" s="6">
        <v>62446828</v>
      </c>
      <c r="O15" s="6">
        <v>65399210</v>
      </c>
      <c r="P15" s="6">
        <v>248622895</v>
      </c>
    </row>
    <row r="16" spans="1:16" x14ac:dyDescent="0.4">
      <c r="A16" s="2">
        <v>2021</v>
      </c>
      <c r="B16" s="2" t="s">
        <v>22</v>
      </c>
      <c r="C16" s="2">
        <v>83179122</v>
      </c>
      <c r="D16" s="2">
        <v>46183700</v>
      </c>
      <c r="E16" s="2">
        <v>30359568</v>
      </c>
      <c r="F16" s="2">
        <v>6635854</v>
      </c>
      <c r="G16" s="1">
        <v>447302</v>
      </c>
      <c r="H16" s="2">
        <v>151626</v>
      </c>
      <c r="I16" s="2">
        <v>2268</v>
      </c>
      <c r="K16" s="4" t="s">
        <v>21</v>
      </c>
      <c r="L16" s="6">
        <v>56944960</v>
      </c>
      <c r="M16" s="6">
        <v>64510577</v>
      </c>
      <c r="N16" s="6">
        <v>68374401</v>
      </c>
      <c r="O16" s="6">
        <v>71954538</v>
      </c>
      <c r="P16" s="6">
        <v>261784476</v>
      </c>
    </row>
    <row r="17" spans="1:16" x14ac:dyDescent="0.4">
      <c r="A17" s="2">
        <v>2021</v>
      </c>
      <c r="B17" s="2" t="s">
        <v>23</v>
      </c>
      <c r="C17" s="2">
        <v>125896852</v>
      </c>
      <c r="D17" s="2">
        <v>52107668</v>
      </c>
      <c r="E17" s="2">
        <v>62794479</v>
      </c>
      <c r="F17" s="2">
        <v>10994705</v>
      </c>
      <c r="G17" s="1">
        <v>574315</v>
      </c>
      <c r="H17" s="2">
        <v>204246</v>
      </c>
      <c r="I17" s="2">
        <v>-97</v>
      </c>
      <c r="K17" s="4" t="s">
        <v>20</v>
      </c>
      <c r="L17" s="6">
        <v>60695355</v>
      </c>
      <c r="M17" s="6">
        <v>68059904</v>
      </c>
      <c r="N17" s="6">
        <v>72292718</v>
      </c>
      <c r="O17" s="6">
        <v>75152493</v>
      </c>
      <c r="P17" s="6">
        <v>276200470</v>
      </c>
    </row>
    <row r="18" spans="1:16" x14ac:dyDescent="0.4">
      <c r="A18" s="2">
        <v>2021</v>
      </c>
      <c r="B18" s="2" t="s">
        <v>24</v>
      </c>
      <c r="C18" s="2">
        <v>123387880</v>
      </c>
      <c r="D18" s="2">
        <v>60237240</v>
      </c>
      <c r="E18" s="2">
        <v>56036771</v>
      </c>
      <c r="F18" s="2">
        <v>7113869</v>
      </c>
      <c r="G18" s="1">
        <v>396754</v>
      </c>
      <c r="H18" s="2">
        <v>144667</v>
      </c>
      <c r="I18" s="2">
        <v>906</v>
      </c>
      <c r="K18" s="4" t="s">
        <v>29</v>
      </c>
      <c r="L18" s="6">
        <v>72872287</v>
      </c>
      <c r="M18" s="6">
        <v>78195534</v>
      </c>
      <c r="N18" s="6">
        <v>78646999</v>
      </c>
      <c r="O18" s="6">
        <v>81739104</v>
      </c>
      <c r="P18" s="6">
        <v>311453924</v>
      </c>
    </row>
    <row r="19" spans="1:16" x14ac:dyDescent="0.4">
      <c r="A19" s="2">
        <v>2021</v>
      </c>
      <c r="B19" s="2" t="s">
        <v>25</v>
      </c>
      <c r="C19" s="2">
        <v>66752284</v>
      </c>
      <c r="D19" s="2">
        <v>42139004</v>
      </c>
      <c r="E19" s="2">
        <v>19830665</v>
      </c>
      <c r="F19" s="2">
        <v>4782615</v>
      </c>
      <c r="G19" s="1">
        <v>230811</v>
      </c>
      <c r="H19" s="2">
        <v>88945</v>
      </c>
      <c r="I19" s="2">
        <v>1497</v>
      </c>
      <c r="K19" s="4" t="s">
        <v>11</v>
      </c>
      <c r="L19" s="6">
        <v>31552270</v>
      </c>
      <c r="M19" s="6">
        <v>34157923</v>
      </c>
      <c r="N19" s="6">
        <v>35237767</v>
      </c>
      <c r="O19" s="6">
        <v>37079391</v>
      </c>
      <c r="P19" s="6">
        <v>138027351</v>
      </c>
    </row>
    <row r="20" spans="1:16" x14ac:dyDescent="0.4">
      <c r="A20" s="2">
        <v>2021</v>
      </c>
      <c r="B20" s="2" t="s">
        <v>26</v>
      </c>
      <c r="C20" s="2">
        <v>157499505</v>
      </c>
      <c r="D20" s="2">
        <v>61964048</v>
      </c>
      <c r="E20" s="2">
        <v>81402306</v>
      </c>
      <c r="F20" s="2">
        <v>14133151</v>
      </c>
      <c r="G20" s="1">
        <v>376837</v>
      </c>
      <c r="H20" s="2">
        <v>146625</v>
      </c>
      <c r="I20" s="2">
        <v>3861</v>
      </c>
      <c r="K20" s="4" t="s">
        <v>15</v>
      </c>
      <c r="L20" s="6">
        <v>67929727</v>
      </c>
      <c r="M20" s="6">
        <v>76331592</v>
      </c>
      <c r="N20" s="6">
        <v>79361062</v>
      </c>
      <c r="O20" s="6">
        <v>81559692</v>
      </c>
      <c r="P20" s="6">
        <v>305182073</v>
      </c>
    </row>
    <row r="21" spans="1:16" x14ac:dyDescent="0.4">
      <c r="A21" s="2">
        <v>2021</v>
      </c>
      <c r="B21" s="2" t="s">
        <v>27</v>
      </c>
      <c r="C21" s="2">
        <v>109377406</v>
      </c>
      <c r="D21" s="2">
        <v>58188663</v>
      </c>
      <c r="E21" s="2">
        <v>45706535</v>
      </c>
      <c r="F21" s="2">
        <v>5482208</v>
      </c>
      <c r="G21" s="1">
        <v>385483</v>
      </c>
      <c r="H21" s="2">
        <v>105722</v>
      </c>
      <c r="I21" s="2">
        <v>653</v>
      </c>
      <c r="K21" s="4" t="s">
        <v>31</v>
      </c>
      <c r="L21" s="6">
        <v>60517668</v>
      </c>
      <c r="M21" s="6">
        <v>67415209</v>
      </c>
      <c r="N21" s="6">
        <v>69881907</v>
      </c>
      <c r="O21" s="6">
        <v>71926631</v>
      </c>
      <c r="P21" s="6">
        <v>269741415</v>
      </c>
    </row>
    <row r="22" spans="1:16" x14ac:dyDescent="0.4">
      <c r="A22" s="2">
        <v>2021</v>
      </c>
      <c r="B22" s="2" t="s">
        <v>28</v>
      </c>
      <c r="C22" s="2">
        <v>166188364</v>
      </c>
      <c r="D22" s="2">
        <v>81960533</v>
      </c>
      <c r="E22" s="2">
        <v>75428105</v>
      </c>
      <c r="F22" s="2">
        <v>8799726</v>
      </c>
      <c r="G22" s="1">
        <v>485699</v>
      </c>
      <c r="H22" s="2">
        <v>118943</v>
      </c>
      <c r="I22" s="2">
        <v>-509</v>
      </c>
      <c r="K22" s="4" t="s">
        <v>22</v>
      </c>
      <c r="L22" s="6">
        <v>46183700</v>
      </c>
      <c r="M22" s="6">
        <v>49938837</v>
      </c>
      <c r="N22" s="6">
        <v>51701808</v>
      </c>
      <c r="O22" s="6">
        <v>52935254</v>
      </c>
      <c r="P22" s="6">
        <v>200759599</v>
      </c>
    </row>
    <row r="23" spans="1:16" x14ac:dyDescent="0.4">
      <c r="A23" s="2">
        <v>2021</v>
      </c>
      <c r="B23" s="2" t="s">
        <v>29</v>
      </c>
      <c r="C23" s="2">
        <v>191318304</v>
      </c>
      <c r="D23" s="2">
        <v>72872287</v>
      </c>
      <c r="E23" s="2">
        <v>104225039</v>
      </c>
      <c r="F23" s="2">
        <v>14220978</v>
      </c>
      <c r="G23" s="1">
        <v>412279</v>
      </c>
      <c r="H23" s="2">
        <v>178778</v>
      </c>
      <c r="I23" s="2">
        <v>-2235</v>
      </c>
      <c r="K23" s="4" t="s">
        <v>26</v>
      </c>
      <c r="L23" s="6">
        <v>61964048</v>
      </c>
      <c r="M23" s="6">
        <v>69289958</v>
      </c>
      <c r="N23" s="6">
        <v>72387873</v>
      </c>
      <c r="O23" s="6">
        <v>74379751</v>
      </c>
      <c r="P23" s="6">
        <v>278021630</v>
      </c>
    </row>
    <row r="24" spans="1:16" x14ac:dyDescent="0.4">
      <c r="A24" s="2">
        <v>2021</v>
      </c>
      <c r="B24" s="2" t="s">
        <v>30</v>
      </c>
      <c r="C24" s="2">
        <v>263148318</v>
      </c>
      <c r="D24" s="2">
        <v>93477395</v>
      </c>
      <c r="E24" s="2">
        <v>139523472</v>
      </c>
      <c r="F24" s="2">
        <v>30147451</v>
      </c>
      <c r="G24" s="1">
        <v>533042</v>
      </c>
      <c r="H24" s="2">
        <v>235796</v>
      </c>
      <c r="I24" s="2">
        <v>602</v>
      </c>
      <c r="K24" s="4" t="s">
        <v>10</v>
      </c>
      <c r="L24" s="6">
        <v>43905878</v>
      </c>
      <c r="M24" s="6">
        <v>50537978</v>
      </c>
      <c r="N24" s="6">
        <v>54008803</v>
      </c>
      <c r="O24" s="6">
        <v>56796253</v>
      </c>
      <c r="P24" s="6">
        <v>205248912</v>
      </c>
    </row>
    <row r="25" spans="1:16" x14ac:dyDescent="0.4">
      <c r="A25" s="2">
        <v>2021</v>
      </c>
      <c r="B25" s="2" t="s">
        <v>31</v>
      </c>
      <c r="C25" s="2">
        <v>166423657</v>
      </c>
      <c r="D25" s="2">
        <v>60517668</v>
      </c>
      <c r="E25" s="2">
        <v>89719740</v>
      </c>
      <c r="F25" s="2">
        <v>16186249</v>
      </c>
      <c r="G25" s="1">
        <v>658338</v>
      </c>
      <c r="H25" s="2">
        <v>245565</v>
      </c>
      <c r="I25" s="2">
        <v>4591</v>
      </c>
      <c r="K25" s="4" t="s">
        <v>19</v>
      </c>
      <c r="L25" s="6">
        <v>57517380</v>
      </c>
      <c r="M25" s="6">
        <v>61790167</v>
      </c>
      <c r="N25" s="6">
        <v>63338467</v>
      </c>
      <c r="O25" s="6">
        <v>65746264</v>
      </c>
      <c r="P25" s="6">
        <v>248392278</v>
      </c>
    </row>
    <row r="26" spans="1:16" x14ac:dyDescent="0.4">
      <c r="A26" s="2">
        <v>2021</v>
      </c>
      <c r="B26" s="2" t="s">
        <v>32</v>
      </c>
      <c r="C26" s="2">
        <v>87515237</v>
      </c>
      <c r="D26" s="2">
        <v>32292610</v>
      </c>
      <c r="E26" s="2">
        <v>45671791</v>
      </c>
      <c r="F26" s="2">
        <v>9550836</v>
      </c>
      <c r="G26" s="1">
        <v>462664</v>
      </c>
      <c r="H26" s="2">
        <v>152003</v>
      </c>
      <c r="I26" s="2">
        <v>6877</v>
      </c>
      <c r="K26" s="4" t="s">
        <v>8</v>
      </c>
      <c r="L26" s="6">
        <v>57821751</v>
      </c>
      <c r="M26" s="6">
        <v>67454849</v>
      </c>
      <c r="N26" s="6">
        <v>70681425</v>
      </c>
      <c r="O26" s="6">
        <v>74208386</v>
      </c>
      <c r="P26" s="6">
        <v>270166411</v>
      </c>
    </row>
    <row r="27" spans="1:16" x14ac:dyDescent="0.4">
      <c r="A27" s="2">
        <v>2022</v>
      </c>
      <c r="B27" s="2" t="s">
        <v>8</v>
      </c>
      <c r="C27" s="2">
        <v>164935619</v>
      </c>
      <c r="D27" s="2">
        <v>67454849</v>
      </c>
      <c r="E27" s="2">
        <v>89319867</v>
      </c>
      <c r="F27" s="2">
        <v>8160903</v>
      </c>
      <c r="G27" s="1">
        <v>141379</v>
      </c>
      <c r="H27" s="2">
        <v>50832</v>
      </c>
      <c r="I27" s="2">
        <v>783</v>
      </c>
      <c r="K27" s="4" t="s">
        <v>9</v>
      </c>
      <c r="L27" s="6">
        <v>39190006</v>
      </c>
      <c r="M27" s="6">
        <v>45724150</v>
      </c>
      <c r="N27" s="6">
        <v>48721660</v>
      </c>
      <c r="O27" s="6">
        <v>52435264</v>
      </c>
      <c r="P27" s="6">
        <v>186071080</v>
      </c>
    </row>
    <row r="28" spans="1:16" x14ac:dyDescent="0.4">
      <c r="A28" s="2">
        <v>2022</v>
      </c>
      <c r="B28" s="2" t="s">
        <v>9</v>
      </c>
      <c r="C28" s="2">
        <v>176154824</v>
      </c>
      <c r="D28" s="2">
        <v>45724150</v>
      </c>
      <c r="E28" s="2">
        <v>120765784</v>
      </c>
      <c r="F28" s="2">
        <v>9664890</v>
      </c>
      <c r="G28" s="1">
        <v>120437</v>
      </c>
      <c r="H28" s="2">
        <v>60081</v>
      </c>
      <c r="I28" s="2">
        <v>6974</v>
      </c>
      <c r="K28" s="4" t="s">
        <v>14</v>
      </c>
      <c r="L28" s="6">
        <v>41568031</v>
      </c>
      <c r="M28" s="6">
        <v>46033124</v>
      </c>
      <c r="N28" s="6">
        <v>48356010</v>
      </c>
      <c r="O28" s="6">
        <v>49857596</v>
      </c>
      <c r="P28" s="6">
        <v>185814761</v>
      </c>
    </row>
    <row r="29" spans="1:16" x14ac:dyDescent="0.4">
      <c r="A29" s="2">
        <v>2022</v>
      </c>
      <c r="B29" s="2" t="s">
        <v>10</v>
      </c>
      <c r="C29" s="2">
        <v>100875869</v>
      </c>
      <c r="D29" s="2">
        <v>50537978</v>
      </c>
      <c r="E29" s="2">
        <v>39369572</v>
      </c>
      <c r="F29" s="2">
        <v>10968319</v>
      </c>
      <c r="G29" s="1">
        <v>218650</v>
      </c>
      <c r="H29" s="2">
        <v>79420</v>
      </c>
      <c r="I29" s="2">
        <v>-66</v>
      </c>
      <c r="K29" s="4" t="s">
        <v>35</v>
      </c>
      <c r="L29" s="6">
        <v>1344157818</v>
      </c>
      <c r="M29" s="6">
        <v>1476650050</v>
      </c>
      <c r="N29" s="6">
        <v>1524180658</v>
      </c>
      <c r="O29" s="6">
        <v>1582835588</v>
      </c>
      <c r="P29" s="6">
        <v>5927824114</v>
      </c>
    </row>
    <row r="30" spans="1:16" x14ac:dyDescent="0.4">
      <c r="A30" s="2">
        <v>2022</v>
      </c>
      <c r="B30" s="2" t="s">
        <v>11</v>
      </c>
      <c r="C30" s="2">
        <v>106165626</v>
      </c>
      <c r="D30" s="2">
        <v>34157923</v>
      </c>
      <c r="E30" s="2">
        <v>64269063</v>
      </c>
      <c r="F30" s="2">
        <v>7738640</v>
      </c>
      <c r="G30" s="1">
        <v>281000</v>
      </c>
      <c r="H30" s="2">
        <v>106035</v>
      </c>
      <c r="I30" s="2">
        <v>-400</v>
      </c>
    </row>
    <row r="31" spans="1:16" x14ac:dyDescent="0.4">
      <c r="A31" s="2">
        <v>2022</v>
      </c>
      <c r="B31" s="2" t="s">
        <v>12</v>
      </c>
      <c r="C31" s="2">
        <v>107246102</v>
      </c>
      <c r="D31" s="2">
        <v>33234902</v>
      </c>
      <c r="E31" s="2">
        <v>64860255</v>
      </c>
      <c r="F31" s="2">
        <v>9150945</v>
      </c>
      <c r="G31" s="1">
        <v>337416</v>
      </c>
      <c r="H31" s="2">
        <v>99126</v>
      </c>
      <c r="I31" s="2">
        <v>468</v>
      </c>
    </row>
    <row r="32" spans="1:16" x14ac:dyDescent="0.4">
      <c r="A32" s="2">
        <v>2022</v>
      </c>
      <c r="B32" s="2" t="s">
        <v>13</v>
      </c>
      <c r="C32" s="2">
        <v>106610793</v>
      </c>
      <c r="D32" s="2">
        <v>63284045</v>
      </c>
      <c r="E32" s="2">
        <v>34854710</v>
      </c>
      <c r="F32" s="2">
        <v>8472038</v>
      </c>
      <c r="G32" s="1">
        <v>336644</v>
      </c>
      <c r="H32" s="2">
        <v>98574</v>
      </c>
      <c r="I32" s="2">
        <v>404</v>
      </c>
    </row>
    <row r="33" spans="1:16" x14ac:dyDescent="0.4">
      <c r="A33" s="2">
        <v>2022</v>
      </c>
      <c r="B33" s="2" t="s">
        <v>14</v>
      </c>
      <c r="C33" s="2">
        <v>85919590</v>
      </c>
      <c r="D33" s="2">
        <v>46033124</v>
      </c>
      <c r="E33" s="2">
        <v>31943438</v>
      </c>
      <c r="F33" s="2">
        <v>7943028</v>
      </c>
      <c r="G33" s="1">
        <v>385318</v>
      </c>
      <c r="H33" s="2">
        <v>114961</v>
      </c>
      <c r="I33" s="2">
        <v>724</v>
      </c>
    </row>
    <row r="34" spans="1:16" x14ac:dyDescent="0.4">
      <c r="A34" s="2">
        <v>2022</v>
      </c>
      <c r="B34" s="2" t="s">
        <v>15</v>
      </c>
      <c r="C34" s="2">
        <v>126169567</v>
      </c>
      <c r="D34" s="2">
        <v>76331592</v>
      </c>
      <c r="E34" s="2">
        <v>43239120</v>
      </c>
      <c r="F34" s="2">
        <v>6598855</v>
      </c>
      <c r="G34" s="1">
        <v>430397</v>
      </c>
      <c r="H34" s="2">
        <v>122016</v>
      </c>
      <c r="I34" s="2">
        <v>1107</v>
      </c>
    </row>
    <row r="35" spans="1:16" x14ac:dyDescent="0.4">
      <c r="A35" s="2">
        <v>2022</v>
      </c>
      <c r="B35" s="2" t="s">
        <v>16</v>
      </c>
      <c r="C35" s="2">
        <v>94283492</v>
      </c>
      <c r="D35" s="2">
        <v>57994006</v>
      </c>
      <c r="E35" s="2">
        <v>30445153</v>
      </c>
      <c r="F35" s="2">
        <v>5844333</v>
      </c>
      <c r="G35" s="1">
        <v>293660</v>
      </c>
      <c r="H35" s="2">
        <v>75148</v>
      </c>
      <c r="I35" s="2">
        <v>-422</v>
      </c>
      <c r="K35" s="3" t="s">
        <v>36</v>
      </c>
      <c r="L35" s="3" t="s">
        <v>39</v>
      </c>
    </row>
    <row r="36" spans="1:16" x14ac:dyDescent="0.4">
      <c r="A36" s="2">
        <v>2022</v>
      </c>
      <c r="B36" s="2" t="s">
        <v>17</v>
      </c>
      <c r="C36" s="2">
        <v>71242195</v>
      </c>
      <c r="D36" s="2">
        <v>38900295</v>
      </c>
      <c r="E36" s="2">
        <v>26987249</v>
      </c>
      <c r="F36" s="2">
        <v>5354651</v>
      </c>
      <c r="G36" s="1">
        <v>311694</v>
      </c>
      <c r="H36" s="2">
        <v>95573</v>
      </c>
      <c r="I36" s="2">
        <v>111</v>
      </c>
      <c r="K36" s="3" t="s">
        <v>34</v>
      </c>
      <c r="L36">
        <v>2021</v>
      </c>
      <c r="M36">
        <v>2022</v>
      </c>
      <c r="N36">
        <v>2023</v>
      </c>
      <c r="O36">
        <v>2024</v>
      </c>
      <c r="P36" t="s">
        <v>35</v>
      </c>
    </row>
    <row r="37" spans="1:16" x14ac:dyDescent="0.4">
      <c r="A37" s="2">
        <v>2022</v>
      </c>
      <c r="B37" s="2" t="s">
        <v>18</v>
      </c>
      <c r="C37" s="2">
        <v>117486557</v>
      </c>
      <c r="D37" s="2">
        <v>50579231</v>
      </c>
      <c r="E37" s="2">
        <v>57264326</v>
      </c>
      <c r="F37" s="2">
        <v>9643000</v>
      </c>
      <c r="G37" s="1">
        <v>503734</v>
      </c>
      <c r="H37" s="2">
        <v>152305</v>
      </c>
      <c r="I37" s="2">
        <v>-396</v>
      </c>
      <c r="K37" s="4" t="s">
        <v>30</v>
      </c>
      <c r="L37" s="6">
        <v>139523472</v>
      </c>
      <c r="M37" s="6">
        <v>161272441</v>
      </c>
      <c r="N37" s="6">
        <v>175606259</v>
      </c>
      <c r="O37" s="6">
        <v>179953430</v>
      </c>
      <c r="P37" s="6">
        <v>656355602</v>
      </c>
    </row>
    <row r="38" spans="1:16" x14ac:dyDescent="0.4">
      <c r="A38" s="2">
        <v>2022</v>
      </c>
      <c r="B38" s="2" t="s">
        <v>19</v>
      </c>
      <c r="C38" s="2">
        <v>117881189</v>
      </c>
      <c r="D38" s="2">
        <v>61790167</v>
      </c>
      <c r="E38" s="2">
        <v>48938669</v>
      </c>
      <c r="F38" s="2">
        <v>7152353</v>
      </c>
      <c r="G38" s="1">
        <v>466746</v>
      </c>
      <c r="H38" s="2">
        <v>133291</v>
      </c>
      <c r="I38" s="2">
        <v>1239</v>
      </c>
      <c r="K38" s="4" t="s">
        <v>32</v>
      </c>
      <c r="L38" s="6">
        <v>45671791</v>
      </c>
      <c r="M38" s="6">
        <v>49416957</v>
      </c>
      <c r="N38" s="6">
        <v>51997375</v>
      </c>
      <c r="O38" s="6">
        <v>55794880</v>
      </c>
      <c r="P38" s="6">
        <v>202881003</v>
      </c>
    </row>
    <row r="39" spans="1:16" x14ac:dyDescent="0.4">
      <c r="A39" s="2">
        <v>2022</v>
      </c>
      <c r="B39" s="2" t="s">
        <v>20</v>
      </c>
      <c r="C39" s="2">
        <v>107163842</v>
      </c>
      <c r="D39" s="2">
        <v>68059904</v>
      </c>
      <c r="E39" s="2">
        <v>32850877</v>
      </c>
      <c r="F39" s="2">
        <v>6253061</v>
      </c>
      <c r="G39" s="1">
        <v>306337</v>
      </c>
      <c r="H39" s="2">
        <v>89435</v>
      </c>
      <c r="I39" s="2">
        <v>-143</v>
      </c>
      <c r="K39" s="4" t="s">
        <v>16</v>
      </c>
      <c r="L39" s="6">
        <v>28068271</v>
      </c>
      <c r="M39" s="6">
        <v>30445153</v>
      </c>
      <c r="N39" s="6">
        <v>32266378</v>
      </c>
      <c r="O39" s="6">
        <v>32634332</v>
      </c>
      <c r="P39" s="6">
        <v>123414134</v>
      </c>
    </row>
    <row r="40" spans="1:16" x14ac:dyDescent="0.4">
      <c r="A40" s="2">
        <v>2022</v>
      </c>
      <c r="B40" s="2" t="s">
        <v>21</v>
      </c>
      <c r="C40" s="2">
        <v>169324041</v>
      </c>
      <c r="D40" s="2">
        <v>64510577</v>
      </c>
      <c r="E40" s="2">
        <v>91948749</v>
      </c>
      <c r="F40" s="2">
        <v>12864715</v>
      </c>
      <c r="G40" s="1">
        <v>364638</v>
      </c>
      <c r="H40" s="2">
        <v>121250</v>
      </c>
      <c r="I40" s="2">
        <v>1870</v>
      </c>
      <c r="K40" s="4" t="s">
        <v>23</v>
      </c>
      <c r="L40" s="6">
        <v>62794479</v>
      </c>
      <c r="M40" s="6">
        <v>69470943</v>
      </c>
      <c r="N40" s="6">
        <v>75470439</v>
      </c>
      <c r="O40" s="6">
        <v>78419782</v>
      </c>
      <c r="P40" s="6">
        <v>286155643</v>
      </c>
    </row>
    <row r="41" spans="1:16" x14ac:dyDescent="0.4">
      <c r="A41" s="2">
        <v>2022</v>
      </c>
      <c r="B41" s="2" t="s">
        <v>22</v>
      </c>
      <c r="C41" s="2">
        <v>89458448</v>
      </c>
      <c r="D41" s="2">
        <v>49938837</v>
      </c>
      <c r="E41" s="2">
        <v>33236941</v>
      </c>
      <c r="F41" s="2">
        <v>6282670</v>
      </c>
      <c r="G41" s="1">
        <v>440881</v>
      </c>
      <c r="H41" s="2">
        <v>151251</v>
      </c>
      <c r="I41" s="2">
        <v>-375</v>
      </c>
      <c r="K41" s="4" t="s">
        <v>28</v>
      </c>
      <c r="L41" s="6">
        <v>75428105</v>
      </c>
      <c r="M41" s="6">
        <v>84916033</v>
      </c>
      <c r="N41" s="6">
        <v>90767121</v>
      </c>
      <c r="O41" s="6">
        <v>92102308</v>
      </c>
      <c r="P41" s="6">
        <v>343213567</v>
      </c>
    </row>
    <row r="42" spans="1:16" x14ac:dyDescent="0.4">
      <c r="A42" s="2">
        <v>2022</v>
      </c>
      <c r="B42" s="2" t="s">
        <v>23</v>
      </c>
      <c r="C42" s="2">
        <v>136615826</v>
      </c>
      <c r="D42" s="2">
        <v>55871596</v>
      </c>
      <c r="E42" s="2">
        <v>69470943</v>
      </c>
      <c r="F42" s="2">
        <v>11273287</v>
      </c>
      <c r="G42" s="1">
        <v>569166</v>
      </c>
      <c r="H42" s="2">
        <v>206352</v>
      </c>
      <c r="I42" s="2">
        <v>2106</v>
      </c>
      <c r="K42" s="4" t="s">
        <v>12</v>
      </c>
      <c r="L42" s="6">
        <v>56633974</v>
      </c>
      <c r="M42" s="6">
        <v>64860255</v>
      </c>
      <c r="N42" s="6">
        <v>69506034</v>
      </c>
      <c r="O42" s="6">
        <v>70329994</v>
      </c>
      <c r="P42" s="6">
        <v>261330257</v>
      </c>
    </row>
    <row r="43" spans="1:16" x14ac:dyDescent="0.4">
      <c r="A43" s="2">
        <v>2022</v>
      </c>
      <c r="B43" s="2" t="s">
        <v>24</v>
      </c>
      <c r="C43" s="2">
        <v>127504110</v>
      </c>
      <c r="D43" s="2">
        <v>61042525</v>
      </c>
      <c r="E43" s="2">
        <v>59580422</v>
      </c>
      <c r="F43" s="2">
        <v>6881163</v>
      </c>
      <c r="G43" s="1">
        <v>395315</v>
      </c>
      <c r="H43" s="2">
        <v>146040</v>
      </c>
      <c r="I43" s="2">
        <v>1373</v>
      </c>
      <c r="K43" s="4" t="s">
        <v>24</v>
      </c>
      <c r="L43" s="6">
        <v>56036771</v>
      </c>
      <c r="M43" s="6">
        <v>59580422</v>
      </c>
      <c r="N43" s="6">
        <v>63065182</v>
      </c>
      <c r="O43" s="6">
        <v>63648432</v>
      </c>
      <c r="P43" s="6">
        <v>242330807</v>
      </c>
    </row>
    <row r="44" spans="1:16" x14ac:dyDescent="0.4">
      <c r="A44" s="2">
        <v>2022</v>
      </c>
      <c r="B44" s="2" t="s">
        <v>25</v>
      </c>
      <c r="C44" s="2">
        <v>70056965</v>
      </c>
      <c r="D44" s="2">
        <v>45064854</v>
      </c>
      <c r="E44" s="2">
        <v>20465940</v>
      </c>
      <c r="F44" s="2">
        <v>4526171</v>
      </c>
      <c r="G44" s="1">
        <v>229642</v>
      </c>
      <c r="H44" s="2">
        <v>90508</v>
      </c>
      <c r="I44" s="2">
        <v>1563</v>
      </c>
      <c r="K44" s="4" t="s">
        <v>25</v>
      </c>
      <c r="L44" s="6">
        <v>19830665</v>
      </c>
      <c r="M44" s="6">
        <v>20465940</v>
      </c>
      <c r="N44" s="6">
        <v>21372019</v>
      </c>
      <c r="O44" s="6">
        <v>21506116</v>
      </c>
      <c r="P44" s="6">
        <v>83174740</v>
      </c>
    </row>
    <row r="45" spans="1:16" x14ac:dyDescent="0.4">
      <c r="A45" s="2">
        <v>2022</v>
      </c>
      <c r="B45" s="2" t="s">
        <v>26</v>
      </c>
      <c r="C45" s="2">
        <v>174830984</v>
      </c>
      <c r="D45" s="2">
        <v>69289958</v>
      </c>
      <c r="E45" s="2">
        <v>91890433</v>
      </c>
      <c r="F45" s="2">
        <v>13650593</v>
      </c>
      <c r="G45" s="1">
        <v>375675</v>
      </c>
      <c r="H45" s="2">
        <v>145946</v>
      </c>
      <c r="I45" s="2">
        <v>-679</v>
      </c>
      <c r="K45" s="4" t="s">
        <v>18</v>
      </c>
      <c r="L45" s="6">
        <v>52909026</v>
      </c>
      <c r="M45" s="6">
        <v>57264326</v>
      </c>
      <c r="N45" s="6">
        <v>61347921</v>
      </c>
      <c r="O45" s="6">
        <v>65760380</v>
      </c>
      <c r="P45" s="6">
        <v>237281653</v>
      </c>
    </row>
    <row r="46" spans="1:16" x14ac:dyDescent="0.4">
      <c r="A46" s="2">
        <v>2022</v>
      </c>
      <c r="B46" s="2" t="s">
        <v>27</v>
      </c>
      <c r="C46" s="2">
        <v>119187672</v>
      </c>
      <c r="D46" s="2">
        <v>62588194</v>
      </c>
      <c r="E46" s="2">
        <v>51528199</v>
      </c>
      <c r="F46" s="2">
        <v>5071279</v>
      </c>
      <c r="G46" s="1">
        <v>380596</v>
      </c>
      <c r="H46" s="2">
        <v>106263</v>
      </c>
      <c r="I46" s="2">
        <v>541</v>
      </c>
      <c r="K46" s="4" t="s">
        <v>17</v>
      </c>
      <c r="L46" s="6">
        <v>25198610</v>
      </c>
      <c r="M46" s="6">
        <v>26987249</v>
      </c>
      <c r="N46" s="6">
        <v>28321911</v>
      </c>
      <c r="O46" s="6">
        <v>29260920</v>
      </c>
      <c r="P46" s="6">
        <v>109768690</v>
      </c>
    </row>
    <row r="47" spans="1:16" x14ac:dyDescent="0.4">
      <c r="A47" s="2">
        <v>2022</v>
      </c>
      <c r="B47" s="2" t="s">
        <v>28</v>
      </c>
      <c r="C47" s="2">
        <v>183319578</v>
      </c>
      <c r="D47" s="2">
        <v>90076319</v>
      </c>
      <c r="E47" s="2">
        <v>84916033</v>
      </c>
      <c r="F47" s="2">
        <v>8327226</v>
      </c>
      <c r="G47" s="1">
        <v>486752</v>
      </c>
      <c r="H47" s="2">
        <v>118148</v>
      </c>
      <c r="I47" s="2">
        <v>-795</v>
      </c>
      <c r="K47" s="4" t="s">
        <v>13</v>
      </c>
      <c r="L47" s="6">
        <v>31218408</v>
      </c>
      <c r="M47" s="6">
        <v>34854710</v>
      </c>
      <c r="N47" s="6">
        <v>37821239</v>
      </c>
      <c r="O47" s="6">
        <v>39182683</v>
      </c>
      <c r="P47" s="6">
        <v>143077040</v>
      </c>
    </row>
    <row r="48" spans="1:16" x14ac:dyDescent="0.4">
      <c r="A48" s="2">
        <v>2022</v>
      </c>
      <c r="B48" s="2" t="s">
        <v>29</v>
      </c>
      <c r="C48" s="2">
        <v>209014453</v>
      </c>
      <c r="D48" s="2">
        <v>78195534</v>
      </c>
      <c r="E48" s="2">
        <v>117324071</v>
      </c>
      <c r="F48" s="2">
        <v>13494848</v>
      </c>
      <c r="G48" s="1">
        <v>404325</v>
      </c>
      <c r="H48" s="2">
        <v>176639</v>
      </c>
      <c r="I48" s="2">
        <v>-2139</v>
      </c>
      <c r="K48" s="4" t="s">
        <v>27</v>
      </c>
      <c r="L48" s="6">
        <v>45706535</v>
      </c>
      <c r="M48" s="6">
        <v>51528199</v>
      </c>
      <c r="N48" s="6">
        <v>55771179</v>
      </c>
      <c r="O48" s="6">
        <v>57208566</v>
      </c>
      <c r="P48" s="6">
        <v>210214479</v>
      </c>
    </row>
    <row r="49" spans="1:16" x14ac:dyDescent="0.4">
      <c r="A49" s="2">
        <v>2022</v>
      </c>
      <c r="B49" s="2" t="s">
        <v>30</v>
      </c>
      <c r="C49" s="2">
        <v>293965811</v>
      </c>
      <c r="D49" s="2">
        <v>103379977</v>
      </c>
      <c r="E49" s="2">
        <v>161272441</v>
      </c>
      <c r="F49" s="2">
        <v>29313393</v>
      </c>
      <c r="G49" s="1">
        <v>529102</v>
      </c>
      <c r="H49" s="2">
        <v>240480</v>
      </c>
      <c r="I49" s="2">
        <v>4684</v>
      </c>
      <c r="K49" s="4" t="s">
        <v>21</v>
      </c>
      <c r="L49" s="6">
        <v>78992624</v>
      </c>
      <c r="M49" s="6">
        <v>91948749</v>
      </c>
      <c r="N49" s="6">
        <v>103281308</v>
      </c>
      <c r="O49" s="6">
        <v>107502551</v>
      </c>
      <c r="P49" s="6">
        <v>381725232</v>
      </c>
    </row>
    <row r="50" spans="1:16" x14ac:dyDescent="0.4">
      <c r="A50" s="2">
        <v>2022</v>
      </c>
      <c r="B50" s="2" t="s">
        <v>31</v>
      </c>
      <c r="C50" s="2">
        <v>187955776</v>
      </c>
      <c r="D50" s="2">
        <v>67415209</v>
      </c>
      <c r="E50" s="2">
        <v>104523594</v>
      </c>
      <c r="F50" s="2">
        <v>16016973</v>
      </c>
      <c r="G50" s="1">
        <v>658801</v>
      </c>
      <c r="H50" s="2">
        <v>248750</v>
      </c>
      <c r="I50" s="2">
        <v>3185</v>
      </c>
      <c r="K50" s="4" t="s">
        <v>20</v>
      </c>
      <c r="L50" s="6">
        <v>28742860</v>
      </c>
      <c r="M50" s="6">
        <v>32850877</v>
      </c>
      <c r="N50" s="6">
        <v>36582300</v>
      </c>
      <c r="O50" s="6">
        <v>37369540</v>
      </c>
      <c r="P50" s="6">
        <v>135545577</v>
      </c>
    </row>
    <row r="51" spans="1:16" x14ac:dyDescent="0.4">
      <c r="A51" s="2">
        <v>2022</v>
      </c>
      <c r="B51" s="2" t="s">
        <v>32</v>
      </c>
      <c r="C51" s="2">
        <v>93924693</v>
      </c>
      <c r="D51" s="2">
        <v>35194304</v>
      </c>
      <c r="E51" s="2">
        <v>49416957</v>
      </c>
      <c r="F51" s="2">
        <v>9313432</v>
      </c>
      <c r="G51" s="1">
        <v>460067</v>
      </c>
      <c r="H51" s="2">
        <v>151875</v>
      </c>
      <c r="I51" s="2">
        <v>-128</v>
      </c>
      <c r="K51" s="4" t="s">
        <v>29</v>
      </c>
      <c r="L51" s="6">
        <v>104225039</v>
      </c>
      <c r="M51" s="6">
        <v>117324071</v>
      </c>
      <c r="N51" s="6">
        <v>127350104</v>
      </c>
      <c r="O51" s="6">
        <v>130172545</v>
      </c>
      <c r="P51" s="6">
        <v>479071759</v>
      </c>
    </row>
    <row r="52" spans="1:16" x14ac:dyDescent="0.4">
      <c r="A52" s="2">
        <v>2023</v>
      </c>
      <c r="B52" s="2" t="s">
        <v>8</v>
      </c>
      <c r="C52" s="2">
        <v>178567702</v>
      </c>
      <c r="D52" s="2">
        <v>70681425</v>
      </c>
      <c r="E52" s="2">
        <v>100748476</v>
      </c>
      <c r="F52" s="2">
        <v>7137801</v>
      </c>
      <c r="G52" s="1">
        <v>139417</v>
      </c>
      <c r="H52" s="2">
        <v>51000</v>
      </c>
      <c r="I52" s="2">
        <v>168</v>
      </c>
      <c r="K52" s="4" t="s">
        <v>11</v>
      </c>
      <c r="L52" s="6">
        <v>56470250</v>
      </c>
      <c r="M52" s="6">
        <v>64269063</v>
      </c>
      <c r="N52" s="6">
        <v>70179191</v>
      </c>
      <c r="O52" s="6">
        <v>73862010</v>
      </c>
      <c r="P52" s="6">
        <v>264780514</v>
      </c>
    </row>
    <row r="53" spans="1:16" x14ac:dyDescent="0.4">
      <c r="A53" s="2">
        <v>2023</v>
      </c>
      <c r="B53" s="2" t="s">
        <v>9</v>
      </c>
      <c r="C53" s="2">
        <v>202324327</v>
      </c>
      <c r="D53" s="2">
        <v>48721660</v>
      </c>
      <c r="E53" s="2">
        <v>144615589</v>
      </c>
      <c r="F53" s="2">
        <v>8987078</v>
      </c>
      <c r="G53" s="1">
        <v>121312</v>
      </c>
      <c r="H53" s="2">
        <v>57666</v>
      </c>
      <c r="I53" s="2">
        <v>-2415</v>
      </c>
      <c r="K53" s="4" t="s">
        <v>15</v>
      </c>
      <c r="L53" s="6">
        <v>37822410</v>
      </c>
      <c r="M53" s="6">
        <v>43239120</v>
      </c>
      <c r="N53" s="6">
        <v>46809536</v>
      </c>
      <c r="O53" s="6">
        <v>47802034</v>
      </c>
      <c r="P53" s="6">
        <v>175673100</v>
      </c>
    </row>
    <row r="54" spans="1:16" x14ac:dyDescent="0.4">
      <c r="A54" s="2">
        <v>2023</v>
      </c>
      <c r="B54" s="2" t="s">
        <v>10</v>
      </c>
      <c r="C54" s="2">
        <v>107760931</v>
      </c>
      <c r="D54" s="2">
        <v>54008803</v>
      </c>
      <c r="E54" s="2">
        <v>44222766</v>
      </c>
      <c r="F54" s="2">
        <v>9529362</v>
      </c>
      <c r="G54" s="1">
        <v>213151</v>
      </c>
      <c r="H54" s="2">
        <v>75436</v>
      </c>
      <c r="I54" s="2">
        <v>-3984</v>
      </c>
      <c r="K54" s="4" t="s">
        <v>31</v>
      </c>
      <c r="L54" s="6">
        <v>89719740</v>
      </c>
      <c r="M54" s="6">
        <v>104523594</v>
      </c>
      <c r="N54" s="6">
        <v>115250643</v>
      </c>
      <c r="O54" s="6">
        <v>120662352</v>
      </c>
      <c r="P54" s="6">
        <v>430156329</v>
      </c>
    </row>
    <row r="55" spans="1:16" x14ac:dyDescent="0.4">
      <c r="A55" s="2">
        <v>2023</v>
      </c>
      <c r="B55" s="2" t="s">
        <v>11</v>
      </c>
      <c r="C55" s="2">
        <v>111717923</v>
      </c>
      <c r="D55" s="2">
        <v>35237767</v>
      </c>
      <c r="E55" s="2">
        <v>70179191</v>
      </c>
      <c r="F55" s="2">
        <v>6300965</v>
      </c>
      <c r="G55" s="1">
        <v>277361</v>
      </c>
      <c r="H55" s="2">
        <v>104782</v>
      </c>
      <c r="I55" s="2">
        <v>-1253</v>
      </c>
      <c r="K55" s="4" t="s">
        <v>22</v>
      </c>
      <c r="L55" s="6">
        <v>30359568</v>
      </c>
      <c r="M55" s="6">
        <v>33236941</v>
      </c>
      <c r="N55" s="6">
        <v>35246960</v>
      </c>
      <c r="O55" s="6">
        <v>35719191</v>
      </c>
      <c r="P55" s="6">
        <v>134562660</v>
      </c>
    </row>
    <row r="56" spans="1:16" x14ac:dyDescent="0.4">
      <c r="A56" s="2">
        <v>2023</v>
      </c>
      <c r="B56" s="2" t="s">
        <v>12</v>
      </c>
      <c r="C56" s="2">
        <v>111528164</v>
      </c>
      <c r="D56" s="2">
        <v>34809718</v>
      </c>
      <c r="E56" s="2">
        <v>69506034</v>
      </c>
      <c r="F56" s="2">
        <v>7212412</v>
      </c>
      <c r="G56" s="1">
        <v>335554</v>
      </c>
      <c r="H56" s="2">
        <v>97936</v>
      </c>
      <c r="I56" s="2">
        <v>-1190</v>
      </c>
      <c r="K56" s="4" t="s">
        <v>26</v>
      </c>
      <c r="L56" s="6">
        <v>81402306</v>
      </c>
      <c r="M56" s="6">
        <v>91890433</v>
      </c>
      <c r="N56" s="6">
        <v>100244057</v>
      </c>
      <c r="O56" s="6">
        <v>103831744</v>
      </c>
      <c r="P56" s="6">
        <v>377368540</v>
      </c>
    </row>
    <row r="57" spans="1:16" x14ac:dyDescent="0.4">
      <c r="A57" s="2">
        <v>2023</v>
      </c>
      <c r="B57" s="2" t="s">
        <v>13</v>
      </c>
      <c r="C57" s="2">
        <v>111611079</v>
      </c>
      <c r="D57" s="2">
        <v>67437050</v>
      </c>
      <c r="E57" s="2">
        <v>37821239</v>
      </c>
      <c r="F57" s="2">
        <v>6352790</v>
      </c>
      <c r="G57" s="1">
        <v>341149</v>
      </c>
      <c r="H57" s="2">
        <v>99947</v>
      </c>
      <c r="I57" s="2">
        <v>1373</v>
      </c>
      <c r="K57" s="4" t="s">
        <v>10</v>
      </c>
      <c r="L57" s="6">
        <v>32335411</v>
      </c>
      <c r="M57" s="6">
        <v>39369572</v>
      </c>
      <c r="N57" s="6">
        <v>44222766</v>
      </c>
      <c r="O57" s="6">
        <v>45863450</v>
      </c>
      <c r="P57" s="6">
        <v>161791199</v>
      </c>
    </row>
    <row r="58" spans="1:16" x14ac:dyDescent="0.4">
      <c r="A58" s="2">
        <v>2023</v>
      </c>
      <c r="B58" s="2" t="s">
        <v>14</v>
      </c>
      <c r="C58" s="2">
        <v>88060625</v>
      </c>
      <c r="D58" s="2">
        <v>48356010</v>
      </c>
      <c r="E58" s="2">
        <v>33835684</v>
      </c>
      <c r="F58" s="2">
        <v>5868931</v>
      </c>
      <c r="G58" s="1">
        <v>382155</v>
      </c>
      <c r="H58" s="2">
        <v>116523</v>
      </c>
      <c r="I58" s="2">
        <v>1562</v>
      </c>
      <c r="K58" s="4" t="s">
        <v>19</v>
      </c>
      <c r="L58" s="6">
        <v>45319869</v>
      </c>
      <c r="M58" s="6">
        <v>48938669</v>
      </c>
      <c r="N58" s="6">
        <v>51822570</v>
      </c>
      <c r="O58" s="6">
        <v>52739892</v>
      </c>
      <c r="P58" s="6">
        <v>198821000</v>
      </c>
    </row>
    <row r="59" spans="1:16" x14ac:dyDescent="0.4">
      <c r="A59" s="2">
        <v>2023</v>
      </c>
      <c r="B59" s="2" t="s">
        <v>15</v>
      </c>
      <c r="C59" s="2">
        <v>131105290</v>
      </c>
      <c r="D59" s="2">
        <v>79361062</v>
      </c>
      <c r="E59" s="2">
        <v>46809536</v>
      </c>
      <c r="F59" s="2">
        <v>4934692</v>
      </c>
      <c r="G59" s="1">
        <v>425602</v>
      </c>
      <c r="H59" s="2">
        <v>122811</v>
      </c>
      <c r="I59" s="2">
        <v>795</v>
      </c>
      <c r="K59" s="4" t="s">
        <v>8</v>
      </c>
      <c r="L59" s="6">
        <v>75771163</v>
      </c>
      <c r="M59" s="6">
        <v>89319867</v>
      </c>
      <c r="N59" s="6">
        <v>100748476</v>
      </c>
      <c r="O59" s="6">
        <v>103323781</v>
      </c>
      <c r="P59" s="6">
        <v>369163287</v>
      </c>
    </row>
    <row r="60" spans="1:16" x14ac:dyDescent="0.4">
      <c r="A60" s="2">
        <v>2023</v>
      </c>
      <c r="B60" s="2" t="s">
        <v>16</v>
      </c>
      <c r="C60" s="2">
        <v>95421485</v>
      </c>
      <c r="D60" s="2">
        <v>59000850</v>
      </c>
      <c r="E60" s="2">
        <v>32266378</v>
      </c>
      <c r="F60" s="2">
        <v>4154257</v>
      </c>
      <c r="G60" s="1">
        <v>288113</v>
      </c>
      <c r="H60" s="2">
        <v>75166</v>
      </c>
      <c r="I60" s="2">
        <v>18</v>
      </c>
      <c r="K60" s="4" t="s">
        <v>9</v>
      </c>
      <c r="L60" s="6">
        <v>100938579</v>
      </c>
      <c r="M60" s="6">
        <v>120765784</v>
      </c>
      <c r="N60" s="6">
        <v>144615589</v>
      </c>
      <c r="O60" s="6">
        <v>152294765</v>
      </c>
      <c r="P60" s="6">
        <v>518614717</v>
      </c>
    </row>
    <row r="61" spans="1:16" x14ac:dyDescent="0.4">
      <c r="A61" s="2">
        <v>2023</v>
      </c>
      <c r="B61" s="2" t="s">
        <v>17</v>
      </c>
      <c r="C61" s="2">
        <v>71661572</v>
      </c>
      <c r="D61" s="2">
        <v>39783107</v>
      </c>
      <c r="E61" s="2">
        <v>28321911</v>
      </c>
      <c r="F61" s="2">
        <v>3556554</v>
      </c>
      <c r="G61" s="1">
        <v>306948</v>
      </c>
      <c r="H61" s="2">
        <v>95623</v>
      </c>
      <c r="I61" s="2">
        <v>50</v>
      </c>
      <c r="K61" s="4" t="s">
        <v>14</v>
      </c>
      <c r="L61" s="6">
        <v>29571182</v>
      </c>
      <c r="M61" s="6">
        <v>31943438</v>
      </c>
      <c r="N61" s="6">
        <v>33835684</v>
      </c>
      <c r="O61" s="6">
        <v>34271820</v>
      </c>
      <c r="P61" s="6">
        <v>129622124</v>
      </c>
    </row>
    <row r="62" spans="1:16" x14ac:dyDescent="0.4">
      <c r="A62" s="2">
        <v>2023</v>
      </c>
      <c r="B62" s="2" t="s">
        <v>18</v>
      </c>
      <c r="C62" s="2">
        <v>119823856</v>
      </c>
      <c r="D62" s="2">
        <v>51726460</v>
      </c>
      <c r="E62" s="2">
        <v>61347921</v>
      </c>
      <c r="F62" s="2">
        <v>6749475</v>
      </c>
      <c r="G62" s="1">
        <v>498213</v>
      </c>
      <c r="H62" s="2">
        <v>152633</v>
      </c>
      <c r="I62" s="2">
        <v>328</v>
      </c>
      <c r="K62" s="4" t="s">
        <v>35</v>
      </c>
      <c r="L62" s="6">
        <v>1430691108</v>
      </c>
      <c r="M62" s="6">
        <v>1620682806</v>
      </c>
      <c r="N62" s="6">
        <v>1773502241</v>
      </c>
      <c r="O62" s="6">
        <v>1831217498</v>
      </c>
      <c r="P62" s="6">
        <v>6656093653</v>
      </c>
    </row>
    <row r="63" spans="1:16" x14ac:dyDescent="0.4">
      <c r="A63" s="2">
        <v>2023</v>
      </c>
      <c r="B63" s="2" t="s">
        <v>19</v>
      </c>
      <c r="C63" s="2">
        <v>120374400</v>
      </c>
      <c r="D63" s="2">
        <v>63338467</v>
      </c>
      <c r="E63" s="2">
        <v>51822570</v>
      </c>
      <c r="F63" s="2">
        <v>5213363</v>
      </c>
      <c r="G63" s="1">
        <v>466770</v>
      </c>
      <c r="H63" s="2">
        <v>133469</v>
      </c>
      <c r="I63" s="2">
        <v>178</v>
      </c>
    </row>
    <row r="64" spans="1:16" x14ac:dyDescent="0.4">
      <c r="A64" s="2">
        <v>2023</v>
      </c>
      <c r="B64" s="2" t="s">
        <v>20</v>
      </c>
      <c r="C64" s="2">
        <v>113855153</v>
      </c>
      <c r="D64" s="2">
        <v>72292718</v>
      </c>
      <c r="E64" s="2">
        <v>36582300</v>
      </c>
      <c r="F64" s="2">
        <v>4980135</v>
      </c>
      <c r="G64" s="1">
        <v>306231</v>
      </c>
      <c r="H64" s="2">
        <v>91862</v>
      </c>
      <c r="I64" s="2">
        <v>2427</v>
      </c>
    </row>
    <row r="65" spans="1:16" x14ac:dyDescent="0.4">
      <c r="A65" s="2">
        <v>2023</v>
      </c>
      <c r="B65" s="2" t="s">
        <v>21</v>
      </c>
      <c r="C65" s="2">
        <v>182982275</v>
      </c>
      <c r="D65" s="2">
        <v>68374401</v>
      </c>
      <c r="E65" s="2">
        <v>103281308</v>
      </c>
      <c r="F65" s="2">
        <v>11326566</v>
      </c>
      <c r="G65" s="1">
        <v>363697</v>
      </c>
      <c r="H65" s="2">
        <v>122415</v>
      </c>
      <c r="I65" s="2">
        <v>1165</v>
      </c>
    </row>
    <row r="66" spans="1:16" x14ac:dyDescent="0.4">
      <c r="A66" s="2">
        <v>2023</v>
      </c>
      <c r="B66" s="2" t="s">
        <v>22</v>
      </c>
      <c r="C66" s="2">
        <v>91670267</v>
      </c>
      <c r="D66" s="2">
        <v>51701808</v>
      </c>
      <c r="E66" s="2">
        <v>35246960</v>
      </c>
      <c r="F66" s="2">
        <v>4721499</v>
      </c>
      <c r="G66" s="1">
        <v>436028</v>
      </c>
      <c r="H66" s="2">
        <v>151668</v>
      </c>
      <c r="I66" s="2">
        <v>417</v>
      </c>
    </row>
    <row r="67" spans="1:16" x14ac:dyDescent="0.4">
      <c r="A67" s="2">
        <v>2023</v>
      </c>
      <c r="B67" s="2" t="s">
        <v>23</v>
      </c>
      <c r="C67" s="2">
        <v>141725103</v>
      </c>
      <c r="D67" s="2">
        <v>57398643</v>
      </c>
      <c r="E67" s="2">
        <v>75470439</v>
      </c>
      <c r="F67" s="2">
        <v>8856021</v>
      </c>
      <c r="G67" s="1">
        <v>563058</v>
      </c>
      <c r="H67" s="2">
        <v>206104</v>
      </c>
      <c r="I67" s="2">
        <v>-248</v>
      </c>
      <c r="K67" s="3" t="s">
        <v>38</v>
      </c>
      <c r="L67" s="3" t="s">
        <v>39</v>
      </c>
    </row>
    <row r="68" spans="1:16" x14ac:dyDescent="0.4">
      <c r="A68" s="2">
        <v>2023</v>
      </c>
      <c r="B68" s="2" t="s">
        <v>24</v>
      </c>
      <c r="C68" s="2">
        <v>131422494</v>
      </c>
      <c r="D68" s="2">
        <v>62850315</v>
      </c>
      <c r="E68" s="2">
        <v>63065182</v>
      </c>
      <c r="F68" s="2">
        <v>5506997</v>
      </c>
      <c r="G68" s="1">
        <v>392405</v>
      </c>
      <c r="H68" s="2">
        <v>148719</v>
      </c>
      <c r="I68" s="2">
        <v>2679</v>
      </c>
      <c r="K68" s="3" t="s">
        <v>34</v>
      </c>
      <c r="L68">
        <v>2021</v>
      </c>
      <c r="M68">
        <v>2022</v>
      </c>
      <c r="N68">
        <v>2023</v>
      </c>
      <c r="O68">
        <v>2024</v>
      </c>
      <c r="P68" t="s">
        <v>35</v>
      </c>
    </row>
    <row r="69" spans="1:16" x14ac:dyDescent="0.4">
      <c r="A69" s="2">
        <v>2023</v>
      </c>
      <c r="B69" s="2" t="s">
        <v>25</v>
      </c>
      <c r="C69" s="2">
        <v>71105776</v>
      </c>
      <c r="D69" s="2">
        <v>46171676</v>
      </c>
      <c r="E69" s="2">
        <v>21372019</v>
      </c>
      <c r="F69" s="2">
        <v>3562081</v>
      </c>
      <c r="G69" s="1">
        <v>227481</v>
      </c>
      <c r="H69" s="2">
        <v>92223</v>
      </c>
      <c r="I69" s="2">
        <v>1715</v>
      </c>
      <c r="K69" s="4" t="s">
        <v>30</v>
      </c>
      <c r="L69" s="6">
        <v>30147451</v>
      </c>
      <c r="M69" s="6">
        <v>29313393</v>
      </c>
      <c r="N69" s="6">
        <v>25466495</v>
      </c>
      <c r="O69" s="6">
        <v>31707708</v>
      </c>
      <c r="P69" s="6">
        <v>116635047</v>
      </c>
    </row>
    <row r="70" spans="1:16" x14ac:dyDescent="0.4">
      <c r="A70" s="2">
        <v>2023</v>
      </c>
      <c r="B70" s="2" t="s">
        <v>26</v>
      </c>
      <c r="C70" s="2">
        <v>184031098</v>
      </c>
      <c r="D70" s="2">
        <v>72387873</v>
      </c>
      <c r="E70" s="2">
        <v>100244057</v>
      </c>
      <c r="F70" s="2">
        <v>11399168</v>
      </c>
      <c r="G70" s="1">
        <v>374794</v>
      </c>
      <c r="H70" s="2">
        <v>144662</v>
      </c>
      <c r="I70" s="2">
        <v>-1284</v>
      </c>
      <c r="K70" s="4" t="s">
        <v>32</v>
      </c>
      <c r="L70" s="6">
        <v>9550836</v>
      </c>
      <c r="M70" s="6">
        <v>9313432</v>
      </c>
      <c r="N70" s="6">
        <v>6731513</v>
      </c>
      <c r="O70" s="6">
        <v>8331233</v>
      </c>
      <c r="P70" s="6">
        <v>33927014</v>
      </c>
    </row>
    <row r="71" spans="1:16" x14ac:dyDescent="0.4">
      <c r="A71" s="2">
        <v>2023</v>
      </c>
      <c r="B71" s="2" t="s">
        <v>27</v>
      </c>
      <c r="C71" s="2">
        <v>122261047</v>
      </c>
      <c r="D71" s="2">
        <v>62446828</v>
      </c>
      <c r="E71" s="2">
        <v>55771179</v>
      </c>
      <c r="F71" s="2">
        <v>4043040</v>
      </c>
      <c r="G71" s="1">
        <v>378769</v>
      </c>
      <c r="H71" s="2">
        <v>106150</v>
      </c>
      <c r="I71" s="2">
        <v>-113</v>
      </c>
      <c r="K71" s="4" t="s">
        <v>16</v>
      </c>
      <c r="L71" s="6">
        <v>5932508</v>
      </c>
      <c r="M71" s="6">
        <v>5844333</v>
      </c>
      <c r="N71" s="6">
        <v>4154257</v>
      </c>
      <c r="O71" s="6">
        <v>4815306</v>
      </c>
      <c r="P71" s="6">
        <v>20746404</v>
      </c>
    </row>
    <row r="72" spans="1:16" x14ac:dyDescent="0.4">
      <c r="A72" s="2">
        <v>2023</v>
      </c>
      <c r="B72" s="2" t="s">
        <v>28</v>
      </c>
      <c r="C72" s="2">
        <v>186640714</v>
      </c>
      <c r="D72" s="2">
        <v>89284855</v>
      </c>
      <c r="E72" s="2">
        <v>90767121</v>
      </c>
      <c r="F72" s="2">
        <v>6588738</v>
      </c>
      <c r="G72" s="1">
        <v>481956</v>
      </c>
      <c r="H72" s="2">
        <v>118886</v>
      </c>
      <c r="I72" s="2">
        <v>738</v>
      </c>
      <c r="K72" s="4" t="s">
        <v>23</v>
      </c>
      <c r="L72" s="6">
        <v>10994705</v>
      </c>
      <c r="M72" s="6">
        <v>11273287</v>
      </c>
      <c r="N72" s="6">
        <v>8856021</v>
      </c>
      <c r="O72" s="6">
        <v>10865833</v>
      </c>
      <c r="P72" s="6">
        <v>41989846</v>
      </c>
    </row>
    <row r="73" spans="1:16" x14ac:dyDescent="0.4">
      <c r="A73" s="2">
        <v>2023</v>
      </c>
      <c r="B73" s="2" t="s">
        <v>29</v>
      </c>
      <c r="C73" s="2">
        <v>217494174</v>
      </c>
      <c r="D73" s="2">
        <v>78646999</v>
      </c>
      <c r="E73" s="2">
        <v>127350104</v>
      </c>
      <c r="F73" s="2">
        <v>11497071</v>
      </c>
      <c r="G73" s="1">
        <v>407664</v>
      </c>
      <c r="H73" s="2">
        <v>176137</v>
      </c>
      <c r="I73" s="2">
        <v>-502</v>
      </c>
      <c r="K73" s="4" t="s">
        <v>28</v>
      </c>
      <c r="L73" s="6">
        <v>8799726</v>
      </c>
      <c r="M73" s="6">
        <v>8327226</v>
      </c>
      <c r="N73" s="6">
        <v>6588738</v>
      </c>
      <c r="O73" s="6">
        <v>7776886</v>
      </c>
      <c r="P73" s="6">
        <v>31492576</v>
      </c>
    </row>
    <row r="74" spans="1:16" x14ac:dyDescent="0.4">
      <c r="A74" s="2">
        <v>2023</v>
      </c>
      <c r="B74" s="2" t="s">
        <v>30</v>
      </c>
      <c r="C74" s="2">
        <v>306070238</v>
      </c>
      <c r="D74" s="2">
        <v>104997484</v>
      </c>
      <c r="E74" s="2">
        <v>175606259</v>
      </c>
      <c r="F74" s="2">
        <v>25466495</v>
      </c>
      <c r="G74" s="1">
        <v>544873</v>
      </c>
      <c r="H74" s="2">
        <v>250445</v>
      </c>
      <c r="I74" s="2">
        <v>9965</v>
      </c>
      <c r="K74" s="4" t="s">
        <v>12</v>
      </c>
      <c r="L74" s="6">
        <v>9237922</v>
      </c>
      <c r="M74" s="6">
        <v>9150945</v>
      </c>
      <c r="N74" s="6">
        <v>7212412</v>
      </c>
      <c r="O74" s="6">
        <v>8504662</v>
      </c>
      <c r="P74" s="6">
        <v>34105941</v>
      </c>
    </row>
    <row r="75" spans="1:16" x14ac:dyDescent="0.4">
      <c r="A75" s="2">
        <v>2023</v>
      </c>
      <c r="B75" s="2" t="s">
        <v>31</v>
      </c>
      <c r="C75" s="2">
        <v>197679387</v>
      </c>
      <c r="D75" s="2">
        <v>69881907</v>
      </c>
      <c r="E75" s="2">
        <v>115250643</v>
      </c>
      <c r="F75" s="2">
        <v>12546837</v>
      </c>
      <c r="G75" s="1">
        <v>654166</v>
      </c>
      <c r="H75" s="2">
        <v>245597</v>
      </c>
      <c r="I75" s="2">
        <v>-3153</v>
      </c>
      <c r="K75" s="4" t="s">
        <v>24</v>
      </c>
      <c r="L75" s="6">
        <v>7113869</v>
      </c>
      <c r="M75" s="6">
        <v>6881163</v>
      </c>
      <c r="N75" s="6">
        <v>5506997</v>
      </c>
      <c r="O75" s="6">
        <v>6560520</v>
      </c>
      <c r="P75" s="6">
        <v>26062549</v>
      </c>
    </row>
    <row r="76" spans="1:16" x14ac:dyDescent="0.4">
      <c r="A76" s="2">
        <v>2023</v>
      </c>
      <c r="B76" s="2" t="s">
        <v>32</v>
      </c>
      <c r="C76" s="2">
        <v>94011660</v>
      </c>
      <c r="D76" s="2">
        <v>35282772</v>
      </c>
      <c r="E76" s="2">
        <v>51997375</v>
      </c>
      <c r="F76" s="2">
        <v>6731513</v>
      </c>
      <c r="G76" s="1">
        <v>459167</v>
      </c>
      <c r="H76" s="2">
        <v>153678</v>
      </c>
      <c r="I76" s="2">
        <v>1803</v>
      </c>
      <c r="K76" s="4" t="s">
        <v>25</v>
      </c>
      <c r="L76" s="6">
        <v>4782615</v>
      </c>
      <c r="M76" s="6">
        <v>4526171</v>
      </c>
      <c r="N76" s="6">
        <v>3562081</v>
      </c>
      <c r="O76" s="6">
        <v>4182936</v>
      </c>
      <c r="P76" s="6">
        <v>17053803</v>
      </c>
    </row>
    <row r="77" spans="1:16" x14ac:dyDescent="0.4">
      <c r="A77" s="2">
        <v>2024</v>
      </c>
      <c r="B77" s="2" t="s">
        <v>8</v>
      </c>
      <c r="C77" s="2">
        <v>186553232</v>
      </c>
      <c r="D77" s="2">
        <v>74208386</v>
      </c>
      <c r="E77" s="2">
        <v>103323781</v>
      </c>
      <c r="F77" s="2">
        <v>9021065</v>
      </c>
      <c r="G77" s="1">
        <v>138336</v>
      </c>
      <c r="H77" s="2">
        <v>50482</v>
      </c>
      <c r="I77" s="2">
        <v>-518</v>
      </c>
      <c r="K77" s="4" t="s">
        <v>18</v>
      </c>
      <c r="L77" s="6">
        <v>9665232</v>
      </c>
      <c r="M77" s="6">
        <v>9643000</v>
      </c>
      <c r="N77" s="6">
        <v>6749475</v>
      </c>
      <c r="O77" s="6">
        <v>7875599</v>
      </c>
      <c r="P77" s="6">
        <v>33933306</v>
      </c>
    </row>
    <row r="78" spans="1:16" x14ac:dyDescent="0.4">
      <c r="A78" s="2">
        <v>2024</v>
      </c>
      <c r="B78" s="2" t="s">
        <v>9</v>
      </c>
      <c r="C78" s="2">
        <v>216622466</v>
      </c>
      <c r="D78" s="2">
        <v>52435264</v>
      </c>
      <c r="E78" s="2">
        <v>152294765</v>
      </c>
      <c r="F78" s="2">
        <v>11892437</v>
      </c>
      <c r="G78" s="1">
        <v>120544</v>
      </c>
      <c r="H78" s="2">
        <v>54332</v>
      </c>
      <c r="I78" s="2">
        <v>-3334</v>
      </c>
      <c r="K78" s="4" t="s">
        <v>17</v>
      </c>
      <c r="L78" s="6">
        <v>5521781</v>
      </c>
      <c r="M78" s="6">
        <v>5354651</v>
      </c>
      <c r="N78" s="6">
        <v>3556554</v>
      </c>
      <c r="O78" s="6">
        <v>4317244</v>
      </c>
      <c r="P78" s="6">
        <v>18750230</v>
      </c>
    </row>
    <row r="79" spans="1:16" x14ac:dyDescent="0.4">
      <c r="A79" s="2">
        <v>2024</v>
      </c>
      <c r="B79" s="2" t="s">
        <v>10</v>
      </c>
      <c r="C79" s="2">
        <v>115155774</v>
      </c>
      <c r="D79" s="2">
        <v>56796253</v>
      </c>
      <c r="E79" s="2">
        <v>45863450</v>
      </c>
      <c r="F79" s="2">
        <v>12496071</v>
      </c>
      <c r="G79" s="1">
        <v>203854</v>
      </c>
      <c r="H79" s="2">
        <v>74001</v>
      </c>
      <c r="I79" s="2">
        <v>-1435</v>
      </c>
      <c r="K79" s="4" t="s">
        <v>13</v>
      </c>
      <c r="L79" s="6">
        <v>8932560</v>
      </c>
      <c r="M79" s="6">
        <v>8472038</v>
      </c>
      <c r="N79" s="6">
        <v>6352790</v>
      </c>
      <c r="O79" s="6">
        <v>7418058</v>
      </c>
      <c r="P79" s="6">
        <v>31175446</v>
      </c>
    </row>
    <row r="80" spans="1:16" x14ac:dyDescent="0.4">
      <c r="A80" s="2">
        <v>2024</v>
      </c>
      <c r="B80" s="2" t="s">
        <v>11</v>
      </c>
      <c r="C80" s="2">
        <v>118721700</v>
      </c>
      <c r="D80" s="2">
        <v>37079391</v>
      </c>
      <c r="E80" s="2">
        <v>73862010</v>
      </c>
      <c r="F80" s="2">
        <v>7780299</v>
      </c>
      <c r="G80" s="1">
        <v>273669</v>
      </c>
      <c r="H80" s="2">
        <v>104641</v>
      </c>
      <c r="I80" s="2">
        <v>-141</v>
      </c>
      <c r="K80" s="4" t="s">
        <v>27</v>
      </c>
      <c r="L80" s="6">
        <v>5482208</v>
      </c>
      <c r="M80" s="6">
        <v>5071279</v>
      </c>
      <c r="N80" s="6">
        <v>4043040</v>
      </c>
      <c r="O80" s="6">
        <v>4909739</v>
      </c>
      <c r="P80" s="6">
        <v>19506266</v>
      </c>
    </row>
    <row r="81" spans="1:16" x14ac:dyDescent="0.4">
      <c r="A81" s="2">
        <v>2024</v>
      </c>
      <c r="B81" s="2" t="s">
        <v>12</v>
      </c>
      <c r="C81" s="2">
        <v>115686552</v>
      </c>
      <c r="D81" s="2">
        <v>36851896</v>
      </c>
      <c r="E81" s="2">
        <v>70329994</v>
      </c>
      <c r="F81" s="2">
        <v>8504662</v>
      </c>
      <c r="G81" s="1">
        <v>331963</v>
      </c>
      <c r="H81" s="2">
        <v>97218</v>
      </c>
      <c r="I81" s="2">
        <v>-718</v>
      </c>
      <c r="K81" s="4" t="s">
        <v>21</v>
      </c>
      <c r="L81" s="6">
        <v>12193528</v>
      </c>
      <c r="M81" s="6">
        <v>12864715</v>
      </c>
      <c r="N81" s="6">
        <v>11326566</v>
      </c>
      <c r="O81" s="6">
        <v>14349022</v>
      </c>
      <c r="P81" s="6">
        <v>50733831</v>
      </c>
    </row>
    <row r="82" spans="1:16" x14ac:dyDescent="0.4">
      <c r="A82" s="2">
        <v>2024</v>
      </c>
      <c r="B82" s="2" t="s">
        <v>13</v>
      </c>
      <c r="C82" s="2">
        <v>117287598</v>
      </c>
      <c r="D82" s="2">
        <v>70686857</v>
      </c>
      <c r="E82" s="2">
        <v>39182683</v>
      </c>
      <c r="F82" s="2">
        <v>7418058</v>
      </c>
      <c r="G82" s="1">
        <v>338735</v>
      </c>
      <c r="H82" s="2">
        <v>102749</v>
      </c>
      <c r="I82" s="2">
        <v>2802</v>
      </c>
      <c r="K82" s="4" t="s">
        <v>20</v>
      </c>
      <c r="L82" s="6">
        <v>6519909</v>
      </c>
      <c r="M82" s="6">
        <v>6253061</v>
      </c>
      <c r="N82" s="6">
        <v>4980135</v>
      </c>
      <c r="O82" s="6">
        <v>6050529</v>
      </c>
      <c r="P82" s="6">
        <v>23803634</v>
      </c>
    </row>
    <row r="83" spans="1:16" x14ac:dyDescent="0.4">
      <c r="A83" s="2">
        <v>2024</v>
      </c>
      <c r="B83" s="2" t="s">
        <v>14</v>
      </c>
      <c r="C83" s="2">
        <v>90693667</v>
      </c>
      <c r="D83" s="2">
        <v>49857596</v>
      </c>
      <c r="E83" s="2">
        <v>34271820</v>
      </c>
      <c r="F83" s="2">
        <v>6564251</v>
      </c>
      <c r="G83" s="1">
        <v>379274</v>
      </c>
      <c r="H83" s="2">
        <v>116575</v>
      </c>
      <c r="I83" s="2">
        <v>52</v>
      </c>
      <c r="K83" s="4" t="s">
        <v>29</v>
      </c>
      <c r="L83" s="6">
        <v>14220978</v>
      </c>
      <c r="M83" s="6">
        <v>13494848</v>
      </c>
      <c r="N83" s="6">
        <v>11497071</v>
      </c>
      <c r="O83" s="6">
        <v>14043834</v>
      </c>
      <c r="P83" s="6">
        <v>53256731</v>
      </c>
    </row>
    <row r="84" spans="1:16" x14ac:dyDescent="0.4">
      <c r="A84" s="2">
        <v>2024</v>
      </c>
      <c r="B84" s="2" t="s">
        <v>15</v>
      </c>
      <c r="C84" s="2">
        <v>135254268</v>
      </c>
      <c r="D84" s="2">
        <v>81559692</v>
      </c>
      <c r="E84" s="2">
        <v>47802034</v>
      </c>
      <c r="F84" s="2">
        <v>5892542</v>
      </c>
      <c r="G84" s="1">
        <v>421560</v>
      </c>
      <c r="H84" s="2">
        <v>122135</v>
      </c>
      <c r="I84" s="2">
        <v>-676</v>
      </c>
      <c r="K84" s="4" t="s">
        <v>11</v>
      </c>
      <c r="L84" s="6">
        <v>8064905</v>
      </c>
      <c r="M84" s="6">
        <v>7738640</v>
      </c>
      <c r="N84" s="6">
        <v>6300965</v>
      </c>
      <c r="O84" s="6">
        <v>7780299</v>
      </c>
      <c r="P84" s="6">
        <v>29884809</v>
      </c>
    </row>
    <row r="85" spans="1:16" x14ac:dyDescent="0.4">
      <c r="A85" s="2">
        <v>2024</v>
      </c>
      <c r="B85" s="2" t="s">
        <v>16</v>
      </c>
      <c r="C85" s="2">
        <v>97599102</v>
      </c>
      <c r="D85" s="2">
        <v>60149464</v>
      </c>
      <c r="E85" s="2">
        <v>32634332</v>
      </c>
      <c r="F85" s="2">
        <v>4815306</v>
      </c>
      <c r="G85" s="1">
        <v>283597</v>
      </c>
      <c r="H85" s="2">
        <v>74169</v>
      </c>
      <c r="I85" s="2">
        <v>-997</v>
      </c>
      <c r="K85" s="4" t="s">
        <v>15</v>
      </c>
      <c r="L85" s="6">
        <v>7039123</v>
      </c>
      <c r="M85" s="6">
        <v>6598855</v>
      </c>
      <c r="N85" s="6">
        <v>4934692</v>
      </c>
      <c r="O85" s="6">
        <v>5892542</v>
      </c>
      <c r="P85" s="6">
        <v>24465212</v>
      </c>
    </row>
    <row r="86" spans="1:16" x14ac:dyDescent="0.4">
      <c r="A86" s="2">
        <v>2024</v>
      </c>
      <c r="B86" s="2" t="s">
        <v>17</v>
      </c>
      <c r="C86" s="2">
        <v>74280229</v>
      </c>
      <c r="D86" s="2">
        <v>40702065</v>
      </c>
      <c r="E86" s="2">
        <v>29260920</v>
      </c>
      <c r="F86" s="2">
        <v>4317244</v>
      </c>
      <c r="G86" s="1">
        <v>303228</v>
      </c>
      <c r="H86" s="2">
        <v>94946</v>
      </c>
      <c r="I86" s="2">
        <v>-677</v>
      </c>
      <c r="K86" s="4" t="s">
        <v>31</v>
      </c>
      <c r="L86" s="6">
        <v>16186249</v>
      </c>
      <c r="M86" s="6">
        <v>16016973</v>
      </c>
      <c r="N86" s="6">
        <v>12546837</v>
      </c>
      <c r="O86" s="6">
        <v>15463973</v>
      </c>
      <c r="P86" s="6">
        <v>60214032</v>
      </c>
    </row>
    <row r="87" spans="1:16" x14ac:dyDescent="0.4">
      <c r="A87" s="2">
        <v>2024</v>
      </c>
      <c r="B87" s="2" t="s">
        <v>18</v>
      </c>
      <c r="C87" s="2">
        <v>127177261</v>
      </c>
      <c r="D87" s="2">
        <v>53541282</v>
      </c>
      <c r="E87" s="2">
        <v>65760380</v>
      </c>
      <c r="F87" s="2">
        <v>7875599</v>
      </c>
      <c r="G87" s="1">
        <v>491247</v>
      </c>
      <c r="H87" s="2">
        <v>152155</v>
      </c>
      <c r="I87" s="2">
        <v>-478</v>
      </c>
      <c r="K87" s="4" t="s">
        <v>22</v>
      </c>
      <c r="L87" s="6">
        <v>6635854</v>
      </c>
      <c r="M87" s="6">
        <v>6282670</v>
      </c>
      <c r="N87" s="6">
        <v>4721499</v>
      </c>
      <c r="O87" s="6">
        <v>5705269</v>
      </c>
      <c r="P87" s="6">
        <v>23345292</v>
      </c>
    </row>
    <row r="88" spans="1:16" x14ac:dyDescent="0.4">
      <c r="A88" s="2">
        <v>2024</v>
      </c>
      <c r="B88" s="2" t="s">
        <v>19</v>
      </c>
      <c r="C88" s="2">
        <v>124945537</v>
      </c>
      <c r="D88" s="2">
        <v>65746264</v>
      </c>
      <c r="E88" s="2">
        <v>52739892</v>
      </c>
      <c r="F88" s="2">
        <v>6459381</v>
      </c>
      <c r="G88" s="1">
        <v>460919</v>
      </c>
      <c r="H88" s="2">
        <v>135047</v>
      </c>
      <c r="I88" s="2">
        <v>1578</v>
      </c>
      <c r="K88" s="4" t="s">
        <v>26</v>
      </c>
      <c r="L88" s="6">
        <v>14133151</v>
      </c>
      <c r="M88" s="6">
        <v>13650593</v>
      </c>
      <c r="N88" s="6">
        <v>11399168</v>
      </c>
      <c r="O88" s="6">
        <v>14080187</v>
      </c>
      <c r="P88" s="6">
        <v>53263099</v>
      </c>
    </row>
    <row r="89" spans="1:16" x14ac:dyDescent="0.4">
      <c r="A89" s="2">
        <v>2024</v>
      </c>
      <c r="B89" s="2" t="s">
        <v>20</v>
      </c>
      <c r="C89" s="2">
        <v>118572562</v>
      </c>
      <c r="D89" s="2">
        <v>75152493</v>
      </c>
      <c r="E89" s="2">
        <v>37369540</v>
      </c>
      <c r="F89" s="2">
        <v>6050529</v>
      </c>
      <c r="G89" s="1">
        <v>302853</v>
      </c>
      <c r="H89" s="2">
        <v>91650</v>
      </c>
      <c r="I89" s="2">
        <v>-212</v>
      </c>
      <c r="K89" s="4" t="s">
        <v>10</v>
      </c>
      <c r="L89" s="6">
        <v>10790696</v>
      </c>
      <c r="M89" s="6">
        <v>10968319</v>
      </c>
      <c r="N89" s="6">
        <v>9529362</v>
      </c>
      <c r="O89" s="6">
        <v>12496071</v>
      </c>
      <c r="P89" s="6">
        <v>43784448</v>
      </c>
    </row>
    <row r="90" spans="1:16" x14ac:dyDescent="0.4">
      <c r="A90" s="2">
        <v>2024</v>
      </c>
      <c r="B90" s="2" t="s">
        <v>21</v>
      </c>
      <c r="C90" s="2">
        <v>193806111</v>
      </c>
      <c r="D90" s="2">
        <v>71954538</v>
      </c>
      <c r="E90" s="2">
        <v>107502551</v>
      </c>
      <c r="F90" s="2">
        <v>14349022</v>
      </c>
      <c r="G90" s="1">
        <v>361417</v>
      </c>
      <c r="H90" s="2">
        <v>121943</v>
      </c>
      <c r="I90" s="2">
        <v>-472</v>
      </c>
      <c r="K90" s="4" t="s">
        <v>19</v>
      </c>
      <c r="L90" s="6">
        <v>7579254</v>
      </c>
      <c r="M90" s="6">
        <v>7152353</v>
      </c>
      <c r="N90" s="6">
        <v>5213363</v>
      </c>
      <c r="O90" s="6">
        <v>6459381</v>
      </c>
      <c r="P90" s="6">
        <v>26404351</v>
      </c>
    </row>
    <row r="91" spans="1:16" x14ac:dyDescent="0.4">
      <c r="A91" s="2">
        <v>2024</v>
      </c>
      <c r="B91" s="2" t="s">
        <v>22</v>
      </c>
      <c r="C91" s="2">
        <v>94359714</v>
      </c>
      <c r="D91" s="2">
        <v>52935254</v>
      </c>
      <c r="E91" s="2">
        <v>35719191</v>
      </c>
      <c r="F91" s="2">
        <v>5705269</v>
      </c>
      <c r="G91" s="1">
        <v>430976</v>
      </c>
      <c r="H91" s="2">
        <v>151189</v>
      </c>
      <c r="I91" s="2">
        <v>-479</v>
      </c>
      <c r="K91" s="4" t="s">
        <v>8</v>
      </c>
      <c r="L91" s="6">
        <v>8167055</v>
      </c>
      <c r="M91" s="6">
        <v>8160903</v>
      </c>
      <c r="N91" s="6">
        <v>7137801</v>
      </c>
      <c r="O91" s="6">
        <v>9021065</v>
      </c>
      <c r="P91" s="6">
        <v>32486824</v>
      </c>
    </row>
    <row r="92" spans="1:16" x14ac:dyDescent="0.4">
      <c r="A92" s="2">
        <v>2024</v>
      </c>
      <c r="B92" s="2" t="s">
        <v>23</v>
      </c>
      <c r="C92" s="2">
        <v>147998353</v>
      </c>
      <c r="D92" s="2">
        <v>58712738</v>
      </c>
      <c r="E92" s="2">
        <v>78419782</v>
      </c>
      <c r="F92" s="2">
        <v>10865833</v>
      </c>
      <c r="G92" s="1">
        <v>556171</v>
      </c>
      <c r="H92" s="2">
        <v>204600</v>
      </c>
      <c r="I92" s="2">
        <v>-1504</v>
      </c>
      <c r="K92" s="4" t="s">
        <v>9</v>
      </c>
      <c r="L92" s="6">
        <v>9727454</v>
      </c>
      <c r="M92" s="6">
        <v>9664890</v>
      </c>
      <c r="N92" s="6">
        <v>8987078</v>
      </c>
      <c r="O92" s="6">
        <v>11892437</v>
      </c>
      <c r="P92" s="6">
        <v>40271859</v>
      </c>
    </row>
    <row r="93" spans="1:16" x14ac:dyDescent="0.4">
      <c r="A93" s="2">
        <v>2024</v>
      </c>
      <c r="B93" s="2" t="s">
        <v>24</v>
      </c>
      <c r="C93" s="2">
        <v>134451191</v>
      </c>
      <c r="D93" s="2">
        <v>64242239</v>
      </c>
      <c r="E93" s="2">
        <v>63648432</v>
      </c>
      <c r="F93" s="2">
        <v>6560520</v>
      </c>
      <c r="G93" s="1">
        <v>388169</v>
      </c>
      <c r="H93" s="2">
        <v>147678</v>
      </c>
      <c r="I93" s="2">
        <v>-1041</v>
      </c>
      <c r="K93" s="4" t="s">
        <v>14</v>
      </c>
      <c r="L93" s="6">
        <v>8154731</v>
      </c>
      <c r="M93" s="6">
        <v>7943028</v>
      </c>
      <c r="N93" s="6">
        <v>5868931</v>
      </c>
      <c r="O93" s="6">
        <v>6564251</v>
      </c>
      <c r="P93" s="6">
        <v>28530941</v>
      </c>
    </row>
    <row r="94" spans="1:16" x14ac:dyDescent="0.4">
      <c r="A94" s="2">
        <v>2024</v>
      </c>
      <c r="B94" s="2" t="s">
        <v>25</v>
      </c>
      <c r="C94" s="2">
        <v>71518788</v>
      </c>
      <c r="D94" s="2">
        <v>45829736</v>
      </c>
      <c r="E94" s="2">
        <v>21506116</v>
      </c>
      <c r="F94" s="2">
        <v>4182936</v>
      </c>
      <c r="G94" s="1">
        <v>225159</v>
      </c>
      <c r="H94" s="2">
        <v>91975</v>
      </c>
      <c r="I94" s="2">
        <v>-248</v>
      </c>
      <c r="K94" s="4" t="s">
        <v>35</v>
      </c>
      <c r="L94" s="6">
        <v>245574300</v>
      </c>
      <c r="M94" s="6">
        <v>239960766</v>
      </c>
      <c r="N94" s="6">
        <v>193223841</v>
      </c>
      <c r="O94" s="6">
        <v>237064584</v>
      </c>
      <c r="P94" s="6">
        <v>915823491</v>
      </c>
    </row>
    <row r="95" spans="1:16" x14ac:dyDescent="0.4">
      <c r="A95" s="2">
        <v>2024</v>
      </c>
      <c r="B95" s="2" t="s">
        <v>26</v>
      </c>
      <c r="C95" s="2">
        <v>192291682</v>
      </c>
      <c r="D95" s="2">
        <v>74379751</v>
      </c>
      <c r="E95" s="2">
        <v>103831744</v>
      </c>
      <c r="F95" s="2">
        <v>14080187</v>
      </c>
      <c r="G95" s="1">
        <v>373773</v>
      </c>
      <c r="H95" s="2">
        <v>144665</v>
      </c>
      <c r="I95" s="2">
        <v>3</v>
      </c>
    </row>
    <row r="96" spans="1:16" x14ac:dyDescent="0.4">
      <c r="A96" s="2">
        <v>2024</v>
      </c>
      <c r="B96" s="2" t="s">
        <v>27</v>
      </c>
      <c r="C96" s="2">
        <v>127517515</v>
      </c>
      <c r="D96" s="2">
        <v>65399210</v>
      </c>
      <c r="E96" s="2">
        <v>57208566</v>
      </c>
      <c r="F96" s="2">
        <v>4909739</v>
      </c>
      <c r="G96" s="1">
        <v>375799</v>
      </c>
      <c r="H96" s="2">
        <v>106362</v>
      </c>
      <c r="I96" s="2">
        <v>212</v>
      </c>
    </row>
    <row r="97" spans="1:9" x14ac:dyDescent="0.4">
      <c r="A97" s="2">
        <v>2024</v>
      </c>
      <c r="B97" s="2" t="s">
        <v>28</v>
      </c>
      <c r="C97" s="2">
        <v>191528043</v>
      </c>
      <c r="D97" s="2">
        <v>91648849</v>
      </c>
      <c r="E97" s="2">
        <v>92102308</v>
      </c>
      <c r="F97" s="2">
        <v>7776886</v>
      </c>
      <c r="G97" s="1">
        <v>477812</v>
      </c>
      <c r="H97" s="2">
        <v>117936</v>
      </c>
      <c r="I97" s="2">
        <v>-950</v>
      </c>
    </row>
    <row r="98" spans="1:9" x14ac:dyDescent="0.4">
      <c r="A98" s="2">
        <v>2024</v>
      </c>
      <c r="B98" s="2" t="s">
        <v>29</v>
      </c>
      <c r="C98" s="2">
        <v>225955483</v>
      </c>
      <c r="D98" s="2">
        <v>81739104</v>
      </c>
      <c r="E98" s="2">
        <v>130172545</v>
      </c>
      <c r="F98" s="2">
        <v>14043834</v>
      </c>
      <c r="G98" s="1">
        <v>408376</v>
      </c>
      <c r="H98" s="2">
        <v>176628</v>
      </c>
      <c r="I98" s="2">
        <v>491</v>
      </c>
    </row>
    <row r="99" spans="1:9" x14ac:dyDescent="0.4">
      <c r="A99" s="2">
        <v>2024</v>
      </c>
      <c r="B99" s="2" t="s">
        <v>30</v>
      </c>
      <c r="C99" s="2">
        <v>322927844</v>
      </c>
      <c r="D99" s="2">
        <v>111266706</v>
      </c>
      <c r="E99" s="2">
        <v>179953430</v>
      </c>
      <c r="F99" s="2">
        <v>31707708</v>
      </c>
      <c r="G99" s="1">
        <v>557345</v>
      </c>
      <c r="H99" s="2">
        <v>256099</v>
      </c>
      <c r="I99" s="2">
        <v>5654</v>
      </c>
    </row>
    <row r="100" spans="1:9" x14ac:dyDescent="0.4">
      <c r="A100" s="2">
        <v>2024</v>
      </c>
      <c r="B100" s="2" t="s">
        <v>31</v>
      </c>
      <c r="C100" s="2">
        <v>208052956</v>
      </c>
      <c r="D100" s="2">
        <v>71926631</v>
      </c>
      <c r="E100" s="2">
        <v>120662352</v>
      </c>
      <c r="F100" s="2">
        <v>15463973</v>
      </c>
      <c r="G100" s="1">
        <v>650110</v>
      </c>
      <c r="H100" s="2">
        <v>244079</v>
      </c>
      <c r="I100" s="2">
        <v>-1518</v>
      </c>
    </row>
    <row r="101" spans="1:9" x14ac:dyDescent="0.4">
      <c r="A101" s="2">
        <v>2024</v>
      </c>
      <c r="B101" s="2" t="s">
        <v>32</v>
      </c>
      <c r="C101" s="2">
        <v>102160042</v>
      </c>
      <c r="D101" s="2">
        <v>38033929</v>
      </c>
      <c r="E101" s="2">
        <v>55794880</v>
      </c>
      <c r="F101" s="2">
        <v>8331233</v>
      </c>
      <c r="G101" s="1">
        <v>476942</v>
      </c>
      <c r="H101" s="2">
        <v>154522</v>
      </c>
      <c r="I101" s="2">
        <v>844</v>
      </c>
    </row>
  </sheetData>
  <phoneticPr fontId="18" type="noConversion"/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34F5-5AB1-4E7B-A23C-1FB216E4CDF6}">
  <dimension ref="A1:N101"/>
  <sheetViews>
    <sheetView workbookViewId="0">
      <selection activeCell="K9" sqref="K9"/>
    </sheetView>
  </sheetViews>
  <sheetFormatPr defaultRowHeight="17.399999999999999" x14ac:dyDescent="0.4"/>
  <cols>
    <col min="3" max="3" width="10.3984375" hidden="1" customWidth="1"/>
    <col min="4" max="4" width="0" hidden="1" customWidth="1"/>
    <col min="5" max="5" width="10.3984375" hidden="1" customWidth="1"/>
    <col min="6" max="6" width="9.3984375" hidden="1" customWidth="1"/>
    <col min="8" max="8" width="15.19921875" bestFit="1" customWidth="1"/>
    <col min="9" max="9" width="19.796875" bestFit="1" customWidth="1"/>
    <col min="11" max="11" width="11.19921875" bestFit="1" customWidth="1"/>
    <col min="12" max="12" width="12.296875" bestFit="1" customWidth="1"/>
    <col min="13" max="13" width="21" bestFit="1" customWidth="1"/>
    <col min="14" max="14" width="29.8984375" customWidth="1"/>
    <col min="15" max="111" width="7.8984375" bestFit="1" customWidth="1"/>
    <col min="112" max="112" width="6.796875" bestFit="1" customWidth="1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</row>
    <row r="2" spans="1:14" x14ac:dyDescent="0.4">
      <c r="A2" s="2">
        <v>2021</v>
      </c>
      <c r="B2" s="2" t="s">
        <v>8</v>
      </c>
      <c r="C2" s="2">
        <v>141759969</v>
      </c>
      <c r="D2" s="2">
        <v>57821751</v>
      </c>
      <c r="E2" s="2">
        <v>75771163</v>
      </c>
      <c r="F2" s="2">
        <v>8167055</v>
      </c>
      <c r="G2" s="1">
        <v>144683</v>
      </c>
      <c r="H2" s="2">
        <v>50049</v>
      </c>
      <c r="I2" s="2">
        <v>-11</v>
      </c>
      <c r="K2" s="3" t="s">
        <v>34</v>
      </c>
      <c r="L2" t="s">
        <v>44</v>
      </c>
      <c r="M2" t="s">
        <v>43</v>
      </c>
      <c r="N2" t="s">
        <v>45</v>
      </c>
    </row>
    <row r="3" spans="1:14" x14ac:dyDescent="0.4">
      <c r="A3" s="2">
        <v>2021</v>
      </c>
      <c r="B3" s="2" t="s">
        <v>9</v>
      </c>
      <c r="C3" s="2">
        <v>149856039</v>
      </c>
      <c r="D3" s="2">
        <v>39190006</v>
      </c>
      <c r="E3" s="2">
        <v>100938579</v>
      </c>
      <c r="F3" s="2">
        <v>9727454</v>
      </c>
      <c r="G3" s="1">
        <v>122499</v>
      </c>
      <c r="H3" s="2">
        <v>53107</v>
      </c>
      <c r="I3" s="2">
        <v>1947</v>
      </c>
      <c r="K3" s="4">
        <v>2021</v>
      </c>
      <c r="L3" s="7">
        <v>9509458</v>
      </c>
      <c r="M3" s="6">
        <v>3158710</v>
      </c>
      <c r="N3" s="8">
        <f>CORREL(L3:L6,M3:M6)</f>
        <v>-0.90594306915542144</v>
      </c>
    </row>
    <row r="4" spans="1:14" x14ac:dyDescent="0.4">
      <c r="A4" s="2">
        <v>2021</v>
      </c>
      <c r="B4" s="2" t="s">
        <v>10</v>
      </c>
      <c r="C4" s="2">
        <v>87031985</v>
      </c>
      <c r="D4" s="2">
        <v>43905878</v>
      </c>
      <c r="E4" s="2">
        <v>32335411</v>
      </c>
      <c r="F4" s="2">
        <v>10790696</v>
      </c>
      <c r="G4" s="1">
        <v>222953</v>
      </c>
      <c r="H4" s="2">
        <v>79486</v>
      </c>
      <c r="I4" s="2">
        <v>3005</v>
      </c>
      <c r="K4" s="4">
        <v>2022</v>
      </c>
      <c r="L4" s="7">
        <v>9428372</v>
      </c>
      <c r="M4" s="6">
        <v>3180299</v>
      </c>
    </row>
    <row r="5" spans="1:14" x14ac:dyDescent="0.4">
      <c r="A5" s="2">
        <v>2021</v>
      </c>
      <c r="B5" s="2" t="s">
        <v>11</v>
      </c>
      <c r="C5" s="2">
        <v>96087425</v>
      </c>
      <c r="D5" s="2">
        <v>31552270</v>
      </c>
      <c r="E5" s="2">
        <v>56470250</v>
      </c>
      <c r="F5" s="2">
        <v>8064905</v>
      </c>
      <c r="G5" s="1">
        <v>285990</v>
      </c>
      <c r="H5" s="2">
        <v>106435</v>
      </c>
      <c r="I5" s="2">
        <v>905</v>
      </c>
      <c r="K5" s="4">
        <v>2023</v>
      </c>
      <c r="L5" s="7">
        <v>9386034</v>
      </c>
      <c r="M5" s="6">
        <v>3191538</v>
      </c>
    </row>
    <row r="6" spans="1:14" x14ac:dyDescent="0.4">
      <c r="A6" s="2">
        <v>2021</v>
      </c>
      <c r="B6" s="2" t="s">
        <v>12</v>
      </c>
      <c r="C6" s="2">
        <v>95731490</v>
      </c>
      <c r="D6" s="2">
        <v>29859594</v>
      </c>
      <c r="E6" s="2">
        <v>56633974</v>
      </c>
      <c r="F6" s="2">
        <v>9237922</v>
      </c>
      <c r="G6" s="1">
        <v>339996</v>
      </c>
      <c r="H6" s="2">
        <v>98658</v>
      </c>
      <c r="I6" s="2">
        <v>-114</v>
      </c>
      <c r="K6" s="4">
        <v>2024</v>
      </c>
      <c r="L6" s="7">
        <v>9331828</v>
      </c>
      <c r="M6" s="6">
        <v>3187776</v>
      </c>
    </row>
    <row r="7" spans="1:14" x14ac:dyDescent="0.4">
      <c r="A7" s="2">
        <v>2021</v>
      </c>
      <c r="B7" s="2" t="s">
        <v>13</v>
      </c>
      <c r="C7" s="2">
        <v>97942712</v>
      </c>
      <c r="D7" s="2">
        <v>57791744</v>
      </c>
      <c r="E7" s="2">
        <v>31218408</v>
      </c>
      <c r="F7" s="2">
        <v>8932560</v>
      </c>
      <c r="G7" s="1">
        <v>337400</v>
      </c>
      <c r="H7" s="2">
        <v>98170</v>
      </c>
      <c r="I7" s="2">
        <v>352</v>
      </c>
      <c r="K7" s="4" t="s">
        <v>35</v>
      </c>
      <c r="L7" s="7">
        <v>37655692</v>
      </c>
      <c r="M7" s="6">
        <v>12718323</v>
      </c>
    </row>
    <row r="8" spans="1:14" x14ac:dyDescent="0.4">
      <c r="A8" s="2">
        <v>2021</v>
      </c>
      <c r="B8" s="2" t="s">
        <v>14</v>
      </c>
      <c r="C8" s="2">
        <v>79293944</v>
      </c>
      <c r="D8" s="2">
        <v>41568031</v>
      </c>
      <c r="E8" s="2">
        <v>29571182</v>
      </c>
      <c r="F8" s="2">
        <v>8154731</v>
      </c>
      <c r="G8" s="1">
        <v>387350</v>
      </c>
      <c r="H8" s="2">
        <v>114237</v>
      </c>
      <c r="I8" s="2">
        <v>2120</v>
      </c>
    </row>
    <row r="9" spans="1:14" x14ac:dyDescent="0.4">
      <c r="A9" s="2">
        <v>2021</v>
      </c>
      <c r="B9" s="2" t="s">
        <v>15</v>
      </c>
      <c r="C9" s="2">
        <v>112791260</v>
      </c>
      <c r="D9" s="2">
        <v>67929727</v>
      </c>
      <c r="E9" s="2">
        <v>37822410</v>
      </c>
      <c r="F9" s="2">
        <v>7039123</v>
      </c>
      <c r="G9" s="1">
        <v>430528</v>
      </c>
      <c r="H9" s="2">
        <v>120909</v>
      </c>
      <c r="I9" s="2">
        <v>1727</v>
      </c>
      <c r="K9" s="4">
        <v>2025</v>
      </c>
    </row>
    <row r="10" spans="1:14" x14ac:dyDescent="0.4">
      <c r="A10" s="2">
        <v>2021</v>
      </c>
      <c r="B10" s="2" t="s">
        <v>16</v>
      </c>
      <c r="C10" s="2">
        <v>88255787</v>
      </c>
      <c r="D10" s="2">
        <v>54255008</v>
      </c>
      <c r="E10" s="2">
        <v>28068271</v>
      </c>
      <c r="F10" s="2">
        <v>5932508</v>
      </c>
      <c r="G10" s="1">
        <v>299182</v>
      </c>
      <c r="H10" s="2">
        <v>75570</v>
      </c>
      <c r="I10" s="2">
        <v>-511</v>
      </c>
    </row>
    <row r="11" spans="1:14" x14ac:dyDescent="0.4">
      <c r="A11" s="2">
        <v>2021</v>
      </c>
      <c r="B11" s="2" t="s">
        <v>17</v>
      </c>
      <c r="C11" s="2">
        <v>67739876</v>
      </c>
      <c r="D11" s="2">
        <v>37019485</v>
      </c>
      <c r="E11" s="2">
        <v>25198610</v>
      </c>
      <c r="F11" s="2">
        <v>5521781</v>
      </c>
      <c r="G11" s="1">
        <v>317366</v>
      </c>
      <c r="H11" s="2">
        <v>95462</v>
      </c>
      <c r="I11" s="2">
        <v>-389</v>
      </c>
    </row>
    <row r="12" spans="1:14" x14ac:dyDescent="0.4">
      <c r="A12" s="2">
        <v>2021</v>
      </c>
      <c r="B12" s="2" t="s">
        <v>18</v>
      </c>
      <c r="C12" s="2">
        <v>108740071</v>
      </c>
      <c r="D12" s="2">
        <v>46165813</v>
      </c>
      <c r="E12" s="2">
        <v>52909026</v>
      </c>
      <c r="F12" s="2">
        <v>9665232</v>
      </c>
      <c r="G12" s="1">
        <v>510956</v>
      </c>
      <c r="H12" s="2">
        <v>152701</v>
      </c>
      <c r="I12" s="2">
        <v>533</v>
      </c>
    </row>
    <row r="13" spans="1:14" x14ac:dyDescent="0.4">
      <c r="A13" s="2">
        <v>2021</v>
      </c>
      <c r="B13" s="2" t="s">
        <v>19</v>
      </c>
      <c r="C13" s="2">
        <v>110416503</v>
      </c>
      <c r="D13" s="2">
        <v>57517380</v>
      </c>
      <c r="E13" s="2">
        <v>45319869</v>
      </c>
      <c r="F13" s="2">
        <v>7579254</v>
      </c>
      <c r="G13" s="1">
        <v>473307</v>
      </c>
      <c r="H13" s="2">
        <v>132052</v>
      </c>
      <c r="I13" s="2">
        <v>2789</v>
      </c>
    </row>
    <row r="14" spans="1:14" x14ac:dyDescent="0.4">
      <c r="A14" s="2">
        <v>2021</v>
      </c>
      <c r="B14" s="2" t="s">
        <v>20</v>
      </c>
      <c r="C14" s="2">
        <v>95958124</v>
      </c>
      <c r="D14" s="2">
        <v>60695355</v>
      </c>
      <c r="E14" s="2">
        <v>28742860</v>
      </c>
      <c r="F14" s="2">
        <v>6519909</v>
      </c>
      <c r="G14" s="1">
        <v>304819</v>
      </c>
      <c r="H14" s="2">
        <v>89578</v>
      </c>
      <c r="I14" s="2">
        <v>1541</v>
      </c>
    </row>
    <row r="15" spans="1:14" x14ac:dyDescent="0.4">
      <c r="A15" s="2">
        <v>2021</v>
      </c>
      <c r="B15" s="2" t="s">
        <v>21</v>
      </c>
      <c r="C15" s="2">
        <v>148131112</v>
      </c>
      <c r="D15" s="2">
        <v>56944960</v>
      </c>
      <c r="E15" s="2">
        <v>78992624</v>
      </c>
      <c r="F15" s="2">
        <v>12193528</v>
      </c>
      <c r="G15" s="1">
        <v>368905</v>
      </c>
      <c r="H15" s="2">
        <v>119380</v>
      </c>
      <c r="I15" s="2">
        <v>1069</v>
      </c>
    </row>
    <row r="16" spans="1:14" x14ac:dyDescent="0.4">
      <c r="A16" s="2">
        <v>2021</v>
      </c>
      <c r="B16" s="2" t="s">
        <v>22</v>
      </c>
      <c r="C16" s="2">
        <v>83179122</v>
      </c>
      <c r="D16" s="2">
        <v>46183700</v>
      </c>
      <c r="E16" s="2">
        <v>30359568</v>
      </c>
      <c r="F16" s="2">
        <v>6635854</v>
      </c>
      <c r="G16" s="1">
        <v>447302</v>
      </c>
      <c r="H16" s="2">
        <v>151626</v>
      </c>
      <c r="I16" s="2">
        <v>2268</v>
      </c>
    </row>
    <row r="17" spans="1:9" x14ac:dyDescent="0.4">
      <c r="A17" s="2">
        <v>2021</v>
      </c>
      <c r="B17" s="2" t="s">
        <v>23</v>
      </c>
      <c r="C17" s="2">
        <v>125896852</v>
      </c>
      <c r="D17" s="2">
        <v>52107668</v>
      </c>
      <c r="E17" s="2">
        <v>62794479</v>
      </c>
      <c r="F17" s="2">
        <v>10994705</v>
      </c>
      <c r="G17" s="1">
        <v>574315</v>
      </c>
      <c r="H17" s="2">
        <v>204246</v>
      </c>
      <c r="I17" s="2">
        <v>-97</v>
      </c>
    </row>
    <row r="18" spans="1:9" x14ac:dyDescent="0.4">
      <c r="A18" s="2">
        <v>2021</v>
      </c>
      <c r="B18" s="2" t="s">
        <v>24</v>
      </c>
      <c r="C18" s="2">
        <v>123387880</v>
      </c>
      <c r="D18" s="2">
        <v>60237240</v>
      </c>
      <c r="E18" s="2">
        <v>56036771</v>
      </c>
      <c r="F18" s="2">
        <v>7113869</v>
      </c>
      <c r="G18" s="1">
        <v>396754</v>
      </c>
      <c r="H18" s="2">
        <v>144667</v>
      </c>
      <c r="I18" s="2">
        <v>906</v>
      </c>
    </row>
    <row r="19" spans="1:9" x14ac:dyDescent="0.4">
      <c r="A19" s="2">
        <v>2021</v>
      </c>
      <c r="B19" s="2" t="s">
        <v>25</v>
      </c>
      <c r="C19" s="2">
        <v>66752284</v>
      </c>
      <c r="D19" s="2">
        <v>42139004</v>
      </c>
      <c r="E19" s="2">
        <v>19830665</v>
      </c>
      <c r="F19" s="2">
        <v>4782615</v>
      </c>
      <c r="G19" s="1">
        <v>230811</v>
      </c>
      <c r="H19" s="2">
        <v>88945</v>
      </c>
      <c r="I19" s="2">
        <v>1497</v>
      </c>
    </row>
    <row r="20" spans="1:9" x14ac:dyDescent="0.4">
      <c r="A20" s="2">
        <v>2021</v>
      </c>
      <c r="B20" s="2" t="s">
        <v>26</v>
      </c>
      <c r="C20" s="2">
        <v>157499505</v>
      </c>
      <c r="D20" s="2">
        <v>61964048</v>
      </c>
      <c r="E20" s="2">
        <v>81402306</v>
      </c>
      <c r="F20" s="2">
        <v>14133151</v>
      </c>
      <c r="G20" s="1">
        <v>376837</v>
      </c>
      <c r="H20" s="2">
        <v>146625</v>
      </c>
      <c r="I20" s="2">
        <v>3861</v>
      </c>
    </row>
    <row r="21" spans="1:9" x14ac:dyDescent="0.4">
      <c r="A21" s="2">
        <v>2021</v>
      </c>
      <c r="B21" s="2" t="s">
        <v>27</v>
      </c>
      <c r="C21" s="2">
        <v>109377406</v>
      </c>
      <c r="D21" s="2">
        <v>58188663</v>
      </c>
      <c r="E21" s="2">
        <v>45706535</v>
      </c>
      <c r="F21" s="2">
        <v>5482208</v>
      </c>
      <c r="G21" s="1">
        <v>385483</v>
      </c>
      <c r="H21" s="2">
        <v>105722</v>
      </c>
      <c r="I21" s="2">
        <v>653</v>
      </c>
    </row>
    <row r="22" spans="1:9" x14ac:dyDescent="0.4">
      <c r="A22" s="2">
        <v>2021</v>
      </c>
      <c r="B22" s="2" t="s">
        <v>28</v>
      </c>
      <c r="C22" s="2">
        <v>166188364</v>
      </c>
      <c r="D22" s="2">
        <v>81960533</v>
      </c>
      <c r="E22" s="2">
        <v>75428105</v>
      </c>
      <c r="F22" s="2">
        <v>8799726</v>
      </c>
      <c r="G22" s="1">
        <v>485699</v>
      </c>
      <c r="H22" s="2">
        <v>118943</v>
      </c>
      <c r="I22" s="2">
        <v>-509</v>
      </c>
    </row>
    <row r="23" spans="1:9" x14ac:dyDescent="0.4">
      <c r="A23" s="2">
        <v>2021</v>
      </c>
      <c r="B23" s="2" t="s">
        <v>29</v>
      </c>
      <c r="C23" s="2">
        <v>191318304</v>
      </c>
      <c r="D23" s="2">
        <v>72872287</v>
      </c>
      <c r="E23" s="2">
        <v>104225039</v>
      </c>
      <c r="F23" s="2">
        <v>14220978</v>
      </c>
      <c r="G23" s="1">
        <v>412279</v>
      </c>
      <c r="H23" s="2">
        <v>178778</v>
      </c>
      <c r="I23" s="2">
        <v>-2235</v>
      </c>
    </row>
    <row r="24" spans="1:9" x14ac:dyDescent="0.4">
      <c r="A24" s="2">
        <v>2021</v>
      </c>
      <c r="B24" s="2" t="s">
        <v>30</v>
      </c>
      <c r="C24" s="2">
        <v>263148318</v>
      </c>
      <c r="D24" s="2">
        <v>93477395</v>
      </c>
      <c r="E24" s="2">
        <v>139523472</v>
      </c>
      <c r="F24" s="2">
        <v>30147451</v>
      </c>
      <c r="G24" s="1">
        <v>533042</v>
      </c>
      <c r="H24" s="2">
        <v>235796</v>
      </c>
      <c r="I24" s="2">
        <v>602</v>
      </c>
    </row>
    <row r="25" spans="1:9" x14ac:dyDescent="0.4">
      <c r="A25" s="2">
        <v>2021</v>
      </c>
      <c r="B25" s="2" t="s">
        <v>31</v>
      </c>
      <c r="C25" s="2">
        <v>166423657</v>
      </c>
      <c r="D25" s="2">
        <v>60517668</v>
      </c>
      <c r="E25" s="2">
        <v>89719740</v>
      </c>
      <c r="F25" s="2">
        <v>16186249</v>
      </c>
      <c r="G25" s="1">
        <v>658338</v>
      </c>
      <c r="H25" s="2">
        <v>245565</v>
      </c>
      <c r="I25" s="2">
        <v>4591</v>
      </c>
    </row>
    <row r="26" spans="1:9" x14ac:dyDescent="0.4">
      <c r="A26" s="2">
        <v>2021</v>
      </c>
      <c r="B26" s="2" t="s">
        <v>32</v>
      </c>
      <c r="C26" s="2">
        <v>87515237</v>
      </c>
      <c r="D26" s="2">
        <v>32292610</v>
      </c>
      <c r="E26" s="2">
        <v>45671791</v>
      </c>
      <c r="F26" s="2">
        <v>9550836</v>
      </c>
      <c r="G26" s="1">
        <v>462664</v>
      </c>
      <c r="H26" s="2">
        <v>152003</v>
      </c>
      <c r="I26" s="2">
        <v>6877</v>
      </c>
    </row>
    <row r="27" spans="1:9" x14ac:dyDescent="0.4">
      <c r="A27" s="2">
        <v>2022</v>
      </c>
      <c r="B27" s="2" t="s">
        <v>8</v>
      </c>
      <c r="C27" s="2">
        <v>164935619</v>
      </c>
      <c r="D27" s="2">
        <v>67454849</v>
      </c>
      <c r="E27" s="2">
        <v>89319867</v>
      </c>
      <c r="F27" s="2">
        <v>8160903</v>
      </c>
      <c r="G27" s="1">
        <v>141379</v>
      </c>
      <c r="H27" s="2">
        <v>50832</v>
      </c>
      <c r="I27" s="2">
        <v>783</v>
      </c>
    </row>
    <row r="28" spans="1:9" x14ac:dyDescent="0.4">
      <c r="A28" s="2">
        <v>2022</v>
      </c>
      <c r="B28" s="2" t="s">
        <v>9</v>
      </c>
      <c r="C28" s="2">
        <v>176154824</v>
      </c>
      <c r="D28" s="2">
        <v>45724150</v>
      </c>
      <c r="E28" s="2">
        <v>120765784</v>
      </c>
      <c r="F28" s="2">
        <v>9664890</v>
      </c>
      <c r="G28" s="1">
        <v>120437</v>
      </c>
      <c r="H28" s="2">
        <v>60081</v>
      </c>
      <c r="I28" s="2">
        <v>6974</v>
      </c>
    </row>
    <row r="29" spans="1:9" x14ac:dyDescent="0.4">
      <c r="A29" s="2">
        <v>2022</v>
      </c>
      <c r="B29" s="2" t="s">
        <v>10</v>
      </c>
      <c r="C29" s="2">
        <v>100875869</v>
      </c>
      <c r="D29" s="2">
        <v>50537978</v>
      </c>
      <c r="E29" s="2">
        <v>39369572</v>
      </c>
      <c r="F29" s="2">
        <v>10968319</v>
      </c>
      <c r="G29" s="1">
        <v>218650</v>
      </c>
      <c r="H29" s="2">
        <v>79420</v>
      </c>
      <c r="I29" s="2">
        <v>-66</v>
      </c>
    </row>
    <row r="30" spans="1:9" x14ac:dyDescent="0.4">
      <c r="A30" s="2">
        <v>2022</v>
      </c>
      <c r="B30" s="2" t="s">
        <v>11</v>
      </c>
      <c r="C30" s="2">
        <v>106165626</v>
      </c>
      <c r="D30" s="2">
        <v>34157923</v>
      </c>
      <c r="E30" s="2">
        <v>64269063</v>
      </c>
      <c r="F30" s="2">
        <v>7738640</v>
      </c>
      <c r="G30" s="1">
        <v>281000</v>
      </c>
      <c r="H30" s="2">
        <v>106035</v>
      </c>
      <c r="I30" s="2">
        <v>-400</v>
      </c>
    </row>
    <row r="31" spans="1:9" x14ac:dyDescent="0.4">
      <c r="A31" s="2">
        <v>2022</v>
      </c>
      <c r="B31" s="2" t="s">
        <v>12</v>
      </c>
      <c r="C31" s="2">
        <v>107246102</v>
      </c>
      <c r="D31" s="2">
        <v>33234902</v>
      </c>
      <c r="E31" s="2">
        <v>64860255</v>
      </c>
      <c r="F31" s="2">
        <v>9150945</v>
      </c>
      <c r="G31" s="1">
        <v>337416</v>
      </c>
      <c r="H31" s="2">
        <v>99126</v>
      </c>
      <c r="I31" s="2">
        <v>468</v>
      </c>
    </row>
    <row r="32" spans="1:9" x14ac:dyDescent="0.4">
      <c r="A32" s="2">
        <v>2022</v>
      </c>
      <c r="B32" s="2" t="s">
        <v>13</v>
      </c>
      <c r="C32" s="2">
        <v>106610793</v>
      </c>
      <c r="D32" s="2">
        <v>63284045</v>
      </c>
      <c r="E32" s="2">
        <v>34854710</v>
      </c>
      <c r="F32" s="2">
        <v>8472038</v>
      </c>
      <c r="G32" s="1">
        <v>336644</v>
      </c>
      <c r="H32" s="2">
        <v>98574</v>
      </c>
      <c r="I32" s="2">
        <v>404</v>
      </c>
    </row>
    <row r="33" spans="1:9" x14ac:dyDescent="0.4">
      <c r="A33" s="2">
        <v>2022</v>
      </c>
      <c r="B33" s="2" t="s">
        <v>14</v>
      </c>
      <c r="C33" s="2">
        <v>85919590</v>
      </c>
      <c r="D33" s="2">
        <v>46033124</v>
      </c>
      <c r="E33" s="2">
        <v>31943438</v>
      </c>
      <c r="F33" s="2">
        <v>7943028</v>
      </c>
      <c r="G33" s="1">
        <v>385318</v>
      </c>
      <c r="H33" s="2">
        <v>114961</v>
      </c>
      <c r="I33" s="2">
        <v>724</v>
      </c>
    </row>
    <row r="34" spans="1:9" x14ac:dyDescent="0.4">
      <c r="A34" s="2">
        <v>2022</v>
      </c>
      <c r="B34" s="2" t="s">
        <v>15</v>
      </c>
      <c r="C34" s="2">
        <v>126169567</v>
      </c>
      <c r="D34" s="2">
        <v>76331592</v>
      </c>
      <c r="E34" s="2">
        <v>43239120</v>
      </c>
      <c r="F34" s="2">
        <v>6598855</v>
      </c>
      <c r="G34" s="1">
        <v>430397</v>
      </c>
      <c r="H34" s="2">
        <v>122016</v>
      </c>
      <c r="I34" s="2">
        <v>1107</v>
      </c>
    </row>
    <row r="35" spans="1:9" x14ac:dyDescent="0.4">
      <c r="A35" s="2">
        <v>2022</v>
      </c>
      <c r="B35" s="2" t="s">
        <v>16</v>
      </c>
      <c r="C35" s="2">
        <v>94283492</v>
      </c>
      <c r="D35" s="2">
        <v>57994006</v>
      </c>
      <c r="E35" s="2">
        <v>30445153</v>
      </c>
      <c r="F35" s="2">
        <v>5844333</v>
      </c>
      <c r="G35" s="1">
        <v>293660</v>
      </c>
      <c r="H35" s="2">
        <v>75148</v>
      </c>
      <c r="I35" s="2">
        <v>-422</v>
      </c>
    </row>
    <row r="36" spans="1:9" x14ac:dyDescent="0.4">
      <c r="A36" s="2">
        <v>2022</v>
      </c>
      <c r="B36" s="2" t="s">
        <v>17</v>
      </c>
      <c r="C36" s="2">
        <v>71242195</v>
      </c>
      <c r="D36" s="2">
        <v>38900295</v>
      </c>
      <c r="E36" s="2">
        <v>26987249</v>
      </c>
      <c r="F36" s="2">
        <v>5354651</v>
      </c>
      <c r="G36" s="1">
        <v>311694</v>
      </c>
      <c r="H36" s="2">
        <v>95573</v>
      </c>
      <c r="I36" s="2">
        <v>111</v>
      </c>
    </row>
    <row r="37" spans="1:9" x14ac:dyDescent="0.4">
      <c r="A37" s="2">
        <v>2022</v>
      </c>
      <c r="B37" s="2" t="s">
        <v>18</v>
      </c>
      <c r="C37" s="2">
        <v>117486557</v>
      </c>
      <c r="D37" s="2">
        <v>50579231</v>
      </c>
      <c r="E37" s="2">
        <v>57264326</v>
      </c>
      <c r="F37" s="2">
        <v>9643000</v>
      </c>
      <c r="G37" s="1">
        <v>503734</v>
      </c>
      <c r="H37" s="2">
        <v>152305</v>
      </c>
      <c r="I37" s="2">
        <v>-396</v>
      </c>
    </row>
    <row r="38" spans="1:9" x14ac:dyDescent="0.4">
      <c r="A38" s="2">
        <v>2022</v>
      </c>
      <c r="B38" s="2" t="s">
        <v>19</v>
      </c>
      <c r="C38" s="2">
        <v>117881189</v>
      </c>
      <c r="D38" s="2">
        <v>61790167</v>
      </c>
      <c r="E38" s="2">
        <v>48938669</v>
      </c>
      <c r="F38" s="2">
        <v>7152353</v>
      </c>
      <c r="G38" s="1">
        <v>466746</v>
      </c>
      <c r="H38" s="2">
        <v>133291</v>
      </c>
      <c r="I38" s="2">
        <v>1239</v>
      </c>
    </row>
    <row r="39" spans="1:9" x14ac:dyDescent="0.4">
      <c r="A39" s="2">
        <v>2022</v>
      </c>
      <c r="B39" s="2" t="s">
        <v>20</v>
      </c>
      <c r="C39" s="2">
        <v>107163842</v>
      </c>
      <c r="D39" s="2">
        <v>68059904</v>
      </c>
      <c r="E39" s="2">
        <v>32850877</v>
      </c>
      <c r="F39" s="2">
        <v>6253061</v>
      </c>
      <c r="G39" s="1">
        <v>306337</v>
      </c>
      <c r="H39" s="2">
        <v>89435</v>
      </c>
      <c r="I39" s="2">
        <v>-143</v>
      </c>
    </row>
    <row r="40" spans="1:9" x14ac:dyDescent="0.4">
      <c r="A40" s="2">
        <v>2022</v>
      </c>
      <c r="B40" s="2" t="s">
        <v>21</v>
      </c>
      <c r="C40" s="2">
        <v>169324041</v>
      </c>
      <c r="D40" s="2">
        <v>64510577</v>
      </c>
      <c r="E40" s="2">
        <v>91948749</v>
      </c>
      <c r="F40" s="2">
        <v>12864715</v>
      </c>
      <c r="G40" s="1">
        <v>364638</v>
      </c>
      <c r="H40" s="2">
        <v>121250</v>
      </c>
      <c r="I40" s="2">
        <v>1870</v>
      </c>
    </row>
    <row r="41" spans="1:9" x14ac:dyDescent="0.4">
      <c r="A41" s="2">
        <v>2022</v>
      </c>
      <c r="B41" s="2" t="s">
        <v>22</v>
      </c>
      <c r="C41" s="2">
        <v>89458448</v>
      </c>
      <c r="D41" s="2">
        <v>49938837</v>
      </c>
      <c r="E41" s="2">
        <v>33236941</v>
      </c>
      <c r="F41" s="2">
        <v>6282670</v>
      </c>
      <c r="G41" s="1">
        <v>440881</v>
      </c>
      <c r="H41" s="2">
        <v>151251</v>
      </c>
      <c r="I41" s="2">
        <v>-375</v>
      </c>
    </row>
    <row r="42" spans="1:9" x14ac:dyDescent="0.4">
      <c r="A42" s="2">
        <v>2022</v>
      </c>
      <c r="B42" s="2" t="s">
        <v>23</v>
      </c>
      <c r="C42" s="2">
        <v>136615826</v>
      </c>
      <c r="D42" s="2">
        <v>55871596</v>
      </c>
      <c r="E42" s="2">
        <v>69470943</v>
      </c>
      <c r="F42" s="2">
        <v>11273287</v>
      </c>
      <c r="G42" s="1">
        <v>569166</v>
      </c>
      <c r="H42" s="2">
        <v>206352</v>
      </c>
      <c r="I42" s="2">
        <v>2106</v>
      </c>
    </row>
    <row r="43" spans="1:9" x14ac:dyDescent="0.4">
      <c r="A43" s="2">
        <v>2022</v>
      </c>
      <c r="B43" s="2" t="s">
        <v>24</v>
      </c>
      <c r="C43" s="2">
        <v>127504110</v>
      </c>
      <c r="D43" s="2">
        <v>61042525</v>
      </c>
      <c r="E43" s="2">
        <v>59580422</v>
      </c>
      <c r="F43" s="2">
        <v>6881163</v>
      </c>
      <c r="G43" s="1">
        <v>395315</v>
      </c>
      <c r="H43" s="2">
        <v>146040</v>
      </c>
      <c r="I43" s="2">
        <v>1373</v>
      </c>
    </row>
    <row r="44" spans="1:9" x14ac:dyDescent="0.4">
      <c r="A44" s="2">
        <v>2022</v>
      </c>
      <c r="B44" s="2" t="s">
        <v>25</v>
      </c>
      <c r="C44" s="2">
        <v>70056965</v>
      </c>
      <c r="D44" s="2">
        <v>45064854</v>
      </c>
      <c r="E44" s="2">
        <v>20465940</v>
      </c>
      <c r="F44" s="2">
        <v>4526171</v>
      </c>
      <c r="G44" s="1">
        <v>229642</v>
      </c>
      <c r="H44" s="2">
        <v>90508</v>
      </c>
      <c r="I44" s="2">
        <v>1563</v>
      </c>
    </row>
    <row r="45" spans="1:9" x14ac:dyDescent="0.4">
      <c r="A45" s="2">
        <v>2022</v>
      </c>
      <c r="B45" s="2" t="s">
        <v>26</v>
      </c>
      <c r="C45" s="2">
        <v>174830984</v>
      </c>
      <c r="D45" s="2">
        <v>69289958</v>
      </c>
      <c r="E45" s="2">
        <v>91890433</v>
      </c>
      <c r="F45" s="2">
        <v>13650593</v>
      </c>
      <c r="G45" s="1">
        <v>375675</v>
      </c>
      <c r="H45" s="2">
        <v>145946</v>
      </c>
      <c r="I45" s="2">
        <v>-679</v>
      </c>
    </row>
    <row r="46" spans="1:9" x14ac:dyDescent="0.4">
      <c r="A46" s="2">
        <v>2022</v>
      </c>
      <c r="B46" s="2" t="s">
        <v>27</v>
      </c>
      <c r="C46" s="2">
        <v>119187672</v>
      </c>
      <c r="D46" s="2">
        <v>62588194</v>
      </c>
      <c r="E46" s="2">
        <v>51528199</v>
      </c>
      <c r="F46" s="2">
        <v>5071279</v>
      </c>
      <c r="G46" s="1">
        <v>380596</v>
      </c>
      <c r="H46" s="2">
        <v>106263</v>
      </c>
      <c r="I46" s="2">
        <v>541</v>
      </c>
    </row>
    <row r="47" spans="1:9" x14ac:dyDescent="0.4">
      <c r="A47" s="2">
        <v>2022</v>
      </c>
      <c r="B47" s="2" t="s">
        <v>28</v>
      </c>
      <c r="C47" s="2">
        <v>183319578</v>
      </c>
      <c r="D47" s="2">
        <v>90076319</v>
      </c>
      <c r="E47" s="2">
        <v>84916033</v>
      </c>
      <c r="F47" s="2">
        <v>8327226</v>
      </c>
      <c r="G47" s="1">
        <v>486752</v>
      </c>
      <c r="H47" s="2">
        <v>118148</v>
      </c>
      <c r="I47" s="2">
        <v>-795</v>
      </c>
    </row>
    <row r="48" spans="1:9" x14ac:dyDescent="0.4">
      <c r="A48" s="2">
        <v>2022</v>
      </c>
      <c r="B48" s="2" t="s">
        <v>29</v>
      </c>
      <c r="C48" s="2">
        <v>209014453</v>
      </c>
      <c r="D48" s="2">
        <v>78195534</v>
      </c>
      <c r="E48" s="2">
        <v>117324071</v>
      </c>
      <c r="F48" s="2">
        <v>13494848</v>
      </c>
      <c r="G48" s="1">
        <v>404325</v>
      </c>
      <c r="H48" s="2">
        <v>176639</v>
      </c>
      <c r="I48" s="2">
        <v>-2139</v>
      </c>
    </row>
    <row r="49" spans="1:9" x14ac:dyDescent="0.4">
      <c r="A49" s="2">
        <v>2022</v>
      </c>
      <c r="B49" s="2" t="s">
        <v>30</v>
      </c>
      <c r="C49" s="2">
        <v>293965811</v>
      </c>
      <c r="D49" s="2">
        <v>103379977</v>
      </c>
      <c r="E49" s="2">
        <v>161272441</v>
      </c>
      <c r="F49" s="2">
        <v>29313393</v>
      </c>
      <c r="G49" s="1">
        <v>529102</v>
      </c>
      <c r="H49" s="2">
        <v>240480</v>
      </c>
      <c r="I49" s="2">
        <v>4684</v>
      </c>
    </row>
    <row r="50" spans="1:9" x14ac:dyDescent="0.4">
      <c r="A50" s="2">
        <v>2022</v>
      </c>
      <c r="B50" s="2" t="s">
        <v>31</v>
      </c>
      <c r="C50" s="2">
        <v>187955776</v>
      </c>
      <c r="D50" s="2">
        <v>67415209</v>
      </c>
      <c r="E50" s="2">
        <v>104523594</v>
      </c>
      <c r="F50" s="2">
        <v>16016973</v>
      </c>
      <c r="G50" s="1">
        <v>658801</v>
      </c>
      <c r="H50" s="2">
        <v>248750</v>
      </c>
      <c r="I50" s="2">
        <v>3185</v>
      </c>
    </row>
    <row r="51" spans="1:9" x14ac:dyDescent="0.4">
      <c r="A51" s="2">
        <v>2022</v>
      </c>
      <c r="B51" s="2" t="s">
        <v>32</v>
      </c>
      <c r="C51" s="2">
        <v>93924693</v>
      </c>
      <c r="D51" s="2">
        <v>35194304</v>
      </c>
      <c r="E51" s="2">
        <v>49416957</v>
      </c>
      <c r="F51" s="2">
        <v>9313432</v>
      </c>
      <c r="G51" s="1">
        <v>460067</v>
      </c>
      <c r="H51" s="2">
        <v>151875</v>
      </c>
      <c r="I51" s="2">
        <v>-128</v>
      </c>
    </row>
    <row r="52" spans="1:9" x14ac:dyDescent="0.4">
      <c r="A52" s="2">
        <v>2023</v>
      </c>
      <c r="B52" s="2" t="s">
        <v>8</v>
      </c>
      <c r="C52" s="2">
        <v>178567702</v>
      </c>
      <c r="D52" s="2">
        <v>70681425</v>
      </c>
      <c r="E52" s="2">
        <v>100748476</v>
      </c>
      <c r="F52" s="2">
        <v>7137801</v>
      </c>
      <c r="G52" s="1">
        <v>139417</v>
      </c>
      <c r="H52" s="2">
        <v>51000</v>
      </c>
      <c r="I52" s="2">
        <v>168</v>
      </c>
    </row>
    <row r="53" spans="1:9" x14ac:dyDescent="0.4">
      <c r="A53" s="2">
        <v>2023</v>
      </c>
      <c r="B53" s="2" t="s">
        <v>9</v>
      </c>
      <c r="C53" s="2">
        <v>202324327</v>
      </c>
      <c r="D53" s="2">
        <v>48721660</v>
      </c>
      <c r="E53" s="2">
        <v>144615589</v>
      </c>
      <c r="F53" s="2">
        <v>8987078</v>
      </c>
      <c r="G53" s="1">
        <v>121312</v>
      </c>
      <c r="H53" s="2">
        <v>57666</v>
      </c>
      <c r="I53" s="2">
        <v>-2415</v>
      </c>
    </row>
    <row r="54" spans="1:9" x14ac:dyDescent="0.4">
      <c r="A54" s="2">
        <v>2023</v>
      </c>
      <c r="B54" s="2" t="s">
        <v>10</v>
      </c>
      <c r="C54" s="2">
        <v>107760931</v>
      </c>
      <c r="D54" s="2">
        <v>54008803</v>
      </c>
      <c r="E54" s="2">
        <v>44222766</v>
      </c>
      <c r="F54" s="2">
        <v>9529362</v>
      </c>
      <c r="G54" s="1">
        <v>213151</v>
      </c>
      <c r="H54" s="2">
        <v>75436</v>
      </c>
      <c r="I54" s="2">
        <v>-3984</v>
      </c>
    </row>
    <row r="55" spans="1:9" x14ac:dyDescent="0.4">
      <c r="A55" s="2">
        <v>2023</v>
      </c>
      <c r="B55" s="2" t="s">
        <v>11</v>
      </c>
      <c r="C55" s="2">
        <v>111717923</v>
      </c>
      <c r="D55" s="2">
        <v>35237767</v>
      </c>
      <c r="E55" s="2">
        <v>70179191</v>
      </c>
      <c r="F55" s="2">
        <v>6300965</v>
      </c>
      <c r="G55" s="1">
        <v>277361</v>
      </c>
      <c r="H55" s="2">
        <v>104782</v>
      </c>
      <c r="I55" s="2">
        <v>-1253</v>
      </c>
    </row>
    <row r="56" spans="1:9" x14ac:dyDescent="0.4">
      <c r="A56" s="2">
        <v>2023</v>
      </c>
      <c r="B56" s="2" t="s">
        <v>12</v>
      </c>
      <c r="C56" s="2">
        <v>111528164</v>
      </c>
      <c r="D56" s="2">
        <v>34809718</v>
      </c>
      <c r="E56" s="2">
        <v>69506034</v>
      </c>
      <c r="F56" s="2">
        <v>7212412</v>
      </c>
      <c r="G56" s="1">
        <v>335554</v>
      </c>
      <c r="H56" s="2">
        <v>97936</v>
      </c>
      <c r="I56" s="2">
        <v>-1190</v>
      </c>
    </row>
    <row r="57" spans="1:9" x14ac:dyDescent="0.4">
      <c r="A57" s="2">
        <v>2023</v>
      </c>
      <c r="B57" s="2" t="s">
        <v>13</v>
      </c>
      <c r="C57" s="2">
        <v>111611079</v>
      </c>
      <c r="D57" s="2">
        <v>67437050</v>
      </c>
      <c r="E57" s="2">
        <v>37821239</v>
      </c>
      <c r="F57" s="2">
        <v>6352790</v>
      </c>
      <c r="G57" s="1">
        <v>341149</v>
      </c>
      <c r="H57" s="2">
        <v>99947</v>
      </c>
      <c r="I57" s="2">
        <v>1373</v>
      </c>
    </row>
    <row r="58" spans="1:9" x14ac:dyDescent="0.4">
      <c r="A58" s="2">
        <v>2023</v>
      </c>
      <c r="B58" s="2" t="s">
        <v>14</v>
      </c>
      <c r="C58" s="2">
        <v>88060625</v>
      </c>
      <c r="D58" s="2">
        <v>48356010</v>
      </c>
      <c r="E58" s="2">
        <v>33835684</v>
      </c>
      <c r="F58" s="2">
        <v>5868931</v>
      </c>
      <c r="G58" s="1">
        <v>382155</v>
      </c>
      <c r="H58" s="2">
        <v>116523</v>
      </c>
      <c r="I58" s="2">
        <v>1562</v>
      </c>
    </row>
    <row r="59" spans="1:9" x14ac:dyDescent="0.4">
      <c r="A59" s="2">
        <v>2023</v>
      </c>
      <c r="B59" s="2" t="s">
        <v>15</v>
      </c>
      <c r="C59" s="2">
        <v>131105290</v>
      </c>
      <c r="D59" s="2">
        <v>79361062</v>
      </c>
      <c r="E59" s="2">
        <v>46809536</v>
      </c>
      <c r="F59" s="2">
        <v>4934692</v>
      </c>
      <c r="G59" s="1">
        <v>425602</v>
      </c>
      <c r="H59" s="2">
        <v>122811</v>
      </c>
      <c r="I59" s="2">
        <v>795</v>
      </c>
    </row>
    <row r="60" spans="1:9" x14ac:dyDescent="0.4">
      <c r="A60" s="2">
        <v>2023</v>
      </c>
      <c r="B60" s="2" t="s">
        <v>16</v>
      </c>
      <c r="C60" s="2">
        <v>95421485</v>
      </c>
      <c r="D60" s="2">
        <v>59000850</v>
      </c>
      <c r="E60" s="2">
        <v>32266378</v>
      </c>
      <c r="F60" s="2">
        <v>4154257</v>
      </c>
      <c r="G60" s="1">
        <v>288113</v>
      </c>
      <c r="H60" s="2">
        <v>75166</v>
      </c>
      <c r="I60" s="2">
        <v>18</v>
      </c>
    </row>
    <row r="61" spans="1:9" x14ac:dyDescent="0.4">
      <c r="A61" s="2">
        <v>2023</v>
      </c>
      <c r="B61" s="2" t="s">
        <v>17</v>
      </c>
      <c r="C61" s="2">
        <v>71661572</v>
      </c>
      <c r="D61" s="2">
        <v>39783107</v>
      </c>
      <c r="E61" s="2">
        <v>28321911</v>
      </c>
      <c r="F61" s="2">
        <v>3556554</v>
      </c>
      <c r="G61" s="1">
        <v>306948</v>
      </c>
      <c r="H61" s="2">
        <v>95623</v>
      </c>
      <c r="I61" s="2">
        <v>50</v>
      </c>
    </row>
    <row r="62" spans="1:9" x14ac:dyDescent="0.4">
      <c r="A62" s="2">
        <v>2023</v>
      </c>
      <c r="B62" s="2" t="s">
        <v>18</v>
      </c>
      <c r="C62" s="2">
        <v>119823856</v>
      </c>
      <c r="D62" s="2">
        <v>51726460</v>
      </c>
      <c r="E62" s="2">
        <v>61347921</v>
      </c>
      <c r="F62" s="2">
        <v>6749475</v>
      </c>
      <c r="G62" s="1">
        <v>498213</v>
      </c>
      <c r="H62" s="2">
        <v>152633</v>
      </c>
      <c r="I62" s="2">
        <v>328</v>
      </c>
    </row>
    <row r="63" spans="1:9" x14ac:dyDescent="0.4">
      <c r="A63" s="2">
        <v>2023</v>
      </c>
      <c r="B63" s="2" t="s">
        <v>19</v>
      </c>
      <c r="C63" s="2">
        <v>120374400</v>
      </c>
      <c r="D63" s="2">
        <v>63338467</v>
      </c>
      <c r="E63" s="2">
        <v>51822570</v>
      </c>
      <c r="F63" s="2">
        <v>5213363</v>
      </c>
      <c r="G63" s="1">
        <v>466770</v>
      </c>
      <c r="H63" s="2">
        <v>133469</v>
      </c>
      <c r="I63" s="2">
        <v>178</v>
      </c>
    </row>
    <row r="64" spans="1:9" x14ac:dyDescent="0.4">
      <c r="A64" s="2">
        <v>2023</v>
      </c>
      <c r="B64" s="2" t="s">
        <v>20</v>
      </c>
      <c r="C64" s="2">
        <v>113855153</v>
      </c>
      <c r="D64" s="2">
        <v>72292718</v>
      </c>
      <c r="E64" s="2">
        <v>36582300</v>
      </c>
      <c r="F64" s="2">
        <v>4980135</v>
      </c>
      <c r="G64" s="1">
        <v>306231</v>
      </c>
      <c r="H64" s="2">
        <v>91862</v>
      </c>
      <c r="I64" s="2">
        <v>2427</v>
      </c>
    </row>
    <row r="65" spans="1:9" x14ac:dyDescent="0.4">
      <c r="A65" s="2">
        <v>2023</v>
      </c>
      <c r="B65" s="2" t="s">
        <v>21</v>
      </c>
      <c r="C65" s="2">
        <v>182982275</v>
      </c>
      <c r="D65" s="2">
        <v>68374401</v>
      </c>
      <c r="E65" s="2">
        <v>103281308</v>
      </c>
      <c r="F65" s="2">
        <v>11326566</v>
      </c>
      <c r="G65" s="1">
        <v>363697</v>
      </c>
      <c r="H65" s="2">
        <v>122415</v>
      </c>
      <c r="I65" s="2">
        <v>1165</v>
      </c>
    </row>
    <row r="66" spans="1:9" x14ac:dyDescent="0.4">
      <c r="A66" s="2">
        <v>2023</v>
      </c>
      <c r="B66" s="2" t="s">
        <v>22</v>
      </c>
      <c r="C66" s="2">
        <v>91670267</v>
      </c>
      <c r="D66" s="2">
        <v>51701808</v>
      </c>
      <c r="E66" s="2">
        <v>35246960</v>
      </c>
      <c r="F66" s="2">
        <v>4721499</v>
      </c>
      <c r="G66" s="1">
        <v>436028</v>
      </c>
      <c r="H66" s="2">
        <v>151668</v>
      </c>
      <c r="I66" s="2">
        <v>417</v>
      </c>
    </row>
    <row r="67" spans="1:9" x14ac:dyDescent="0.4">
      <c r="A67" s="2">
        <v>2023</v>
      </c>
      <c r="B67" s="2" t="s">
        <v>23</v>
      </c>
      <c r="C67" s="2">
        <v>141725103</v>
      </c>
      <c r="D67" s="2">
        <v>57398643</v>
      </c>
      <c r="E67" s="2">
        <v>75470439</v>
      </c>
      <c r="F67" s="2">
        <v>8856021</v>
      </c>
      <c r="G67" s="1">
        <v>563058</v>
      </c>
      <c r="H67" s="2">
        <v>206104</v>
      </c>
      <c r="I67" s="2">
        <v>-248</v>
      </c>
    </row>
    <row r="68" spans="1:9" x14ac:dyDescent="0.4">
      <c r="A68" s="2">
        <v>2023</v>
      </c>
      <c r="B68" s="2" t="s">
        <v>24</v>
      </c>
      <c r="C68" s="2">
        <v>131422494</v>
      </c>
      <c r="D68" s="2">
        <v>62850315</v>
      </c>
      <c r="E68" s="2">
        <v>63065182</v>
      </c>
      <c r="F68" s="2">
        <v>5506997</v>
      </c>
      <c r="G68" s="1">
        <v>392405</v>
      </c>
      <c r="H68" s="2">
        <v>148719</v>
      </c>
      <c r="I68" s="2">
        <v>2679</v>
      </c>
    </row>
    <row r="69" spans="1:9" x14ac:dyDescent="0.4">
      <c r="A69" s="2">
        <v>2023</v>
      </c>
      <c r="B69" s="2" t="s">
        <v>25</v>
      </c>
      <c r="C69" s="2">
        <v>71105776</v>
      </c>
      <c r="D69" s="2">
        <v>46171676</v>
      </c>
      <c r="E69" s="2">
        <v>21372019</v>
      </c>
      <c r="F69" s="2">
        <v>3562081</v>
      </c>
      <c r="G69" s="1">
        <v>227481</v>
      </c>
      <c r="H69" s="2">
        <v>92223</v>
      </c>
      <c r="I69" s="2">
        <v>1715</v>
      </c>
    </row>
    <row r="70" spans="1:9" x14ac:dyDescent="0.4">
      <c r="A70" s="2">
        <v>2023</v>
      </c>
      <c r="B70" s="2" t="s">
        <v>26</v>
      </c>
      <c r="C70" s="2">
        <v>184031098</v>
      </c>
      <c r="D70" s="2">
        <v>72387873</v>
      </c>
      <c r="E70" s="2">
        <v>100244057</v>
      </c>
      <c r="F70" s="2">
        <v>11399168</v>
      </c>
      <c r="G70" s="1">
        <v>374794</v>
      </c>
      <c r="H70" s="2">
        <v>144662</v>
      </c>
      <c r="I70" s="2">
        <v>-1284</v>
      </c>
    </row>
    <row r="71" spans="1:9" x14ac:dyDescent="0.4">
      <c r="A71" s="2">
        <v>2023</v>
      </c>
      <c r="B71" s="2" t="s">
        <v>27</v>
      </c>
      <c r="C71" s="2">
        <v>122261047</v>
      </c>
      <c r="D71" s="2">
        <v>62446828</v>
      </c>
      <c r="E71" s="2">
        <v>55771179</v>
      </c>
      <c r="F71" s="2">
        <v>4043040</v>
      </c>
      <c r="G71" s="1">
        <v>378769</v>
      </c>
      <c r="H71" s="2">
        <v>106150</v>
      </c>
      <c r="I71" s="2">
        <v>-113</v>
      </c>
    </row>
    <row r="72" spans="1:9" x14ac:dyDescent="0.4">
      <c r="A72" s="2">
        <v>2023</v>
      </c>
      <c r="B72" s="2" t="s">
        <v>28</v>
      </c>
      <c r="C72" s="2">
        <v>186640714</v>
      </c>
      <c r="D72" s="2">
        <v>89284855</v>
      </c>
      <c r="E72" s="2">
        <v>90767121</v>
      </c>
      <c r="F72" s="2">
        <v>6588738</v>
      </c>
      <c r="G72" s="1">
        <v>481956</v>
      </c>
      <c r="H72" s="2">
        <v>118886</v>
      </c>
      <c r="I72" s="2">
        <v>738</v>
      </c>
    </row>
    <row r="73" spans="1:9" x14ac:dyDescent="0.4">
      <c r="A73" s="2">
        <v>2023</v>
      </c>
      <c r="B73" s="2" t="s">
        <v>29</v>
      </c>
      <c r="C73" s="2">
        <v>217494174</v>
      </c>
      <c r="D73" s="2">
        <v>78646999</v>
      </c>
      <c r="E73" s="2">
        <v>127350104</v>
      </c>
      <c r="F73" s="2">
        <v>11497071</v>
      </c>
      <c r="G73" s="1">
        <v>407664</v>
      </c>
      <c r="H73" s="2">
        <v>176137</v>
      </c>
      <c r="I73" s="2">
        <v>-502</v>
      </c>
    </row>
    <row r="74" spans="1:9" x14ac:dyDescent="0.4">
      <c r="A74" s="2">
        <v>2023</v>
      </c>
      <c r="B74" s="2" t="s">
        <v>30</v>
      </c>
      <c r="C74" s="2">
        <v>306070238</v>
      </c>
      <c r="D74" s="2">
        <v>104997484</v>
      </c>
      <c r="E74" s="2">
        <v>175606259</v>
      </c>
      <c r="F74" s="2">
        <v>25466495</v>
      </c>
      <c r="G74" s="1">
        <v>544873</v>
      </c>
      <c r="H74" s="2">
        <v>250445</v>
      </c>
      <c r="I74" s="2">
        <v>9965</v>
      </c>
    </row>
    <row r="75" spans="1:9" x14ac:dyDescent="0.4">
      <c r="A75" s="2">
        <v>2023</v>
      </c>
      <c r="B75" s="2" t="s">
        <v>31</v>
      </c>
      <c r="C75" s="2">
        <v>197679387</v>
      </c>
      <c r="D75" s="2">
        <v>69881907</v>
      </c>
      <c r="E75" s="2">
        <v>115250643</v>
      </c>
      <c r="F75" s="2">
        <v>12546837</v>
      </c>
      <c r="G75" s="1">
        <v>654166</v>
      </c>
      <c r="H75" s="2">
        <v>245597</v>
      </c>
      <c r="I75" s="2">
        <v>-3153</v>
      </c>
    </row>
    <row r="76" spans="1:9" x14ac:dyDescent="0.4">
      <c r="A76" s="2">
        <v>2023</v>
      </c>
      <c r="B76" s="2" t="s">
        <v>32</v>
      </c>
      <c r="C76" s="2">
        <v>94011660</v>
      </c>
      <c r="D76" s="2">
        <v>35282772</v>
      </c>
      <c r="E76" s="2">
        <v>51997375</v>
      </c>
      <c r="F76" s="2">
        <v>6731513</v>
      </c>
      <c r="G76" s="1">
        <v>459167</v>
      </c>
      <c r="H76" s="2">
        <v>153678</v>
      </c>
      <c r="I76" s="2">
        <v>1803</v>
      </c>
    </row>
    <row r="77" spans="1:9" x14ac:dyDescent="0.4">
      <c r="A77" s="2">
        <v>2024</v>
      </c>
      <c r="B77" s="2" t="s">
        <v>8</v>
      </c>
      <c r="C77" s="2">
        <v>186553232</v>
      </c>
      <c r="D77" s="2">
        <v>74208386</v>
      </c>
      <c r="E77" s="2">
        <v>103323781</v>
      </c>
      <c r="F77" s="2">
        <v>9021065</v>
      </c>
      <c r="G77" s="1">
        <v>138336</v>
      </c>
      <c r="H77" s="2">
        <v>50482</v>
      </c>
      <c r="I77" s="2">
        <v>-518</v>
      </c>
    </row>
    <row r="78" spans="1:9" x14ac:dyDescent="0.4">
      <c r="A78" s="2">
        <v>2024</v>
      </c>
      <c r="B78" s="2" t="s">
        <v>9</v>
      </c>
      <c r="C78" s="2">
        <v>216622466</v>
      </c>
      <c r="D78" s="2">
        <v>52435264</v>
      </c>
      <c r="E78" s="2">
        <v>152294765</v>
      </c>
      <c r="F78" s="2">
        <v>11892437</v>
      </c>
      <c r="G78" s="1">
        <v>120544</v>
      </c>
      <c r="H78" s="2">
        <v>54332</v>
      </c>
      <c r="I78" s="2">
        <v>-3334</v>
      </c>
    </row>
    <row r="79" spans="1:9" x14ac:dyDescent="0.4">
      <c r="A79" s="2">
        <v>2024</v>
      </c>
      <c r="B79" s="2" t="s">
        <v>10</v>
      </c>
      <c r="C79" s="2">
        <v>115155774</v>
      </c>
      <c r="D79" s="2">
        <v>56796253</v>
      </c>
      <c r="E79" s="2">
        <v>45863450</v>
      </c>
      <c r="F79" s="2">
        <v>12496071</v>
      </c>
      <c r="G79" s="1">
        <v>203854</v>
      </c>
      <c r="H79" s="2">
        <v>74001</v>
      </c>
      <c r="I79" s="2">
        <v>-1435</v>
      </c>
    </row>
    <row r="80" spans="1:9" x14ac:dyDescent="0.4">
      <c r="A80" s="2">
        <v>2024</v>
      </c>
      <c r="B80" s="2" t="s">
        <v>11</v>
      </c>
      <c r="C80" s="2">
        <v>118721700</v>
      </c>
      <c r="D80" s="2">
        <v>37079391</v>
      </c>
      <c r="E80" s="2">
        <v>73862010</v>
      </c>
      <c r="F80" s="2">
        <v>7780299</v>
      </c>
      <c r="G80" s="1">
        <v>273669</v>
      </c>
      <c r="H80" s="2">
        <v>104641</v>
      </c>
      <c r="I80" s="2">
        <v>-141</v>
      </c>
    </row>
    <row r="81" spans="1:9" x14ac:dyDescent="0.4">
      <c r="A81" s="2">
        <v>2024</v>
      </c>
      <c r="B81" s="2" t="s">
        <v>12</v>
      </c>
      <c r="C81" s="2">
        <v>115686552</v>
      </c>
      <c r="D81" s="2">
        <v>36851896</v>
      </c>
      <c r="E81" s="2">
        <v>70329994</v>
      </c>
      <c r="F81" s="2">
        <v>8504662</v>
      </c>
      <c r="G81" s="1">
        <v>331963</v>
      </c>
      <c r="H81" s="2">
        <v>97218</v>
      </c>
      <c r="I81" s="2">
        <v>-718</v>
      </c>
    </row>
    <row r="82" spans="1:9" x14ac:dyDescent="0.4">
      <c r="A82" s="2">
        <v>2024</v>
      </c>
      <c r="B82" s="2" t="s">
        <v>13</v>
      </c>
      <c r="C82" s="2">
        <v>117287598</v>
      </c>
      <c r="D82" s="2">
        <v>70686857</v>
      </c>
      <c r="E82" s="2">
        <v>39182683</v>
      </c>
      <c r="F82" s="2">
        <v>7418058</v>
      </c>
      <c r="G82" s="1">
        <v>338735</v>
      </c>
      <c r="H82" s="2">
        <v>102749</v>
      </c>
      <c r="I82" s="2">
        <v>2802</v>
      </c>
    </row>
    <row r="83" spans="1:9" x14ac:dyDescent="0.4">
      <c r="A83" s="2">
        <v>2024</v>
      </c>
      <c r="B83" s="2" t="s">
        <v>14</v>
      </c>
      <c r="C83" s="2">
        <v>90693667</v>
      </c>
      <c r="D83" s="2">
        <v>49857596</v>
      </c>
      <c r="E83" s="2">
        <v>34271820</v>
      </c>
      <c r="F83" s="2">
        <v>6564251</v>
      </c>
      <c r="G83" s="1">
        <v>379274</v>
      </c>
      <c r="H83" s="2">
        <v>116575</v>
      </c>
      <c r="I83" s="2">
        <v>52</v>
      </c>
    </row>
    <row r="84" spans="1:9" x14ac:dyDescent="0.4">
      <c r="A84" s="2">
        <v>2024</v>
      </c>
      <c r="B84" s="2" t="s">
        <v>15</v>
      </c>
      <c r="C84" s="2">
        <v>135254268</v>
      </c>
      <c r="D84" s="2">
        <v>81559692</v>
      </c>
      <c r="E84" s="2">
        <v>47802034</v>
      </c>
      <c r="F84" s="2">
        <v>5892542</v>
      </c>
      <c r="G84" s="1">
        <v>421560</v>
      </c>
      <c r="H84" s="2">
        <v>122135</v>
      </c>
      <c r="I84" s="2">
        <v>-676</v>
      </c>
    </row>
    <row r="85" spans="1:9" x14ac:dyDescent="0.4">
      <c r="A85" s="2">
        <v>2024</v>
      </c>
      <c r="B85" s="2" t="s">
        <v>16</v>
      </c>
      <c r="C85" s="2">
        <v>97599102</v>
      </c>
      <c r="D85" s="2">
        <v>60149464</v>
      </c>
      <c r="E85" s="2">
        <v>32634332</v>
      </c>
      <c r="F85" s="2">
        <v>4815306</v>
      </c>
      <c r="G85" s="1">
        <v>283597</v>
      </c>
      <c r="H85" s="2">
        <v>74169</v>
      </c>
      <c r="I85" s="2">
        <v>-997</v>
      </c>
    </row>
    <row r="86" spans="1:9" x14ac:dyDescent="0.4">
      <c r="A86" s="2">
        <v>2024</v>
      </c>
      <c r="B86" s="2" t="s">
        <v>17</v>
      </c>
      <c r="C86" s="2">
        <v>74280229</v>
      </c>
      <c r="D86" s="2">
        <v>40702065</v>
      </c>
      <c r="E86" s="2">
        <v>29260920</v>
      </c>
      <c r="F86" s="2">
        <v>4317244</v>
      </c>
      <c r="G86" s="1">
        <v>303228</v>
      </c>
      <c r="H86" s="2">
        <v>94946</v>
      </c>
      <c r="I86" s="2">
        <v>-677</v>
      </c>
    </row>
    <row r="87" spans="1:9" x14ac:dyDescent="0.4">
      <c r="A87" s="2">
        <v>2024</v>
      </c>
      <c r="B87" s="2" t="s">
        <v>18</v>
      </c>
      <c r="C87" s="2">
        <v>127177261</v>
      </c>
      <c r="D87" s="2">
        <v>53541282</v>
      </c>
      <c r="E87" s="2">
        <v>65760380</v>
      </c>
      <c r="F87" s="2">
        <v>7875599</v>
      </c>
      <c r="G87" s="1">
        <v>491247</v>
      </c>
      <c r="H87" s="2">
        <v>152155</v>
      </c>
      <c r="I87" s="2">
        <v>-478</v>
      </c>
    </row>
    <row r="88" spans="1:9" x14ac:dyDescent="0.4">
      <c r="A88" s="2">
        <v>2024</v>
      </c>
      <c r="B88" s="2" t="s">
        <v>19</v>
      </c>
      <c r="C88" s="2">
        <v>124945537</v>
      </c>
      <c r="D88" s="2">
        <v>65746264</v>
      </c>
      <c r="E88" s="2">
        <v>52739892</v>
      </c>
      <c r="F88" s="2">
        <v>6459381</v>
      </c>
      <c r="G88" s="1">
        <v>460919</v>
      </c>
      <c r="H88" s="2">
        <v>135047</v>
      </c>
      <c r="I88" s="2">
        <v>1578</v>
      </c>
    </row>
    <row r="89" spans="1:9" x14ac:dyDescent="0.4">
      <c r="A89" s="2">
        <v>2024</v>
      </c>
      <c r="B89" s="2" t="s">
        <v>20</v>
      </c>
      <c r="C89" s="2">
        <v>118572562</v>
      </c>
      <c r="D89" s="2">
        <v>75152493</v>
      </c>
      <c r="E89" s="2">
        <v>37369540</v>
      </c>
      <c r="F89" s="2">
        <v>6050529</v>
      </c>
      <c r="G89" s="1">
        <v>302853</v>
      </c>
      <c r="H89" s="2">
        <v>91650</v>
      </c>
      <c r="I89" s="2">
        <v>-212</v>
      </c>
    </row>
    <row r="90" spans="1:9" x14ac:dyDescent="0.4">
      <c r="A90" s="2">
        <v>2024</v>
      </c>
      <c r="B90" s="2" t="s">
        <v>21</v>
      </c>
      <c r="C90" s="2">
        <v>193806111</v>
      </c>
      <c r="D90" s="2">
        <v>71954538</v>
      </c>
      <c r="E90" s="2">
        <v>107502551</v>
      </c>
      <c r="F90" s="2">
        <v>14349022</v>
      </c>
      <c r="G90" s="1">
        <v>361417</v>
      </c>
      <c r="H90" s="2">
        <v>121943</v>
      </c>
      <c r="I90" s="2">
        <v>-472</v>
      </c>
    </row>
    <row r="91" spans="1:9" x14ac:dyDescent="0.4">
      <c r="A91" s="2">
        <v>2024</v>
      </c>
      <c r="B91" s="2" t="s">
        <v>22</v>
      </c>
      <c r="C91" s="2">
        <v>94359714</v>
      </c>
      <c r="D91" s="2">
        <v>52935254</v>
      </c>
      <c r="E91" s="2">
        <v>35719191</v>
      </c>
      <c r="F91" s="2">
        <v>5705269</v>
      </c>
      <c r="G91" s="1">
        <v>430976</v>
      </c>
      <c r="H91" s="2">
        <v>151189</v>
      </c>
      <c r="I91" s="2">
        <v>-479</v>
      </c>
    </row>
    <row r="92" spans="1:9" x14ac:dyDescent="0.4">
      <c r="A92" s="2">
        <v>2024</v>
      </c>
      <c r="B92" s="2" t="s">
        <v>23</v>
      </c>
      <c r="C92" s="2">
        <v>147998353</v>
      </c>
      <c r="D92" s="2">
        <v>58712738</v>
      </c>
      <c r="E92" s="2">
        <v>78419782</v>
      </c>
      <c r="F92" s="2">
        <v>10865833</v>
      </c>
      <c r="G92" s="1">
        <v>556171</v>
      </c>
      <c r="H92" s="2">
        <v>204600</v>
      </c>
      <c r="I92" s="2">
        <v>-1504</v>
      </c>
    </row>
    <row r="93" spans="1:9" x14ac:dyDescent="0.4">
      <c r="A93" s="2">
        <v>2024</v>
      </c>
      <c r="B93" s="2" t="s">
        <v>24</v>
      </c>
      <c r="C93" s="2">
        <v>134451191</v>
      </c>
      <c r="D93" s="2">
        <v>64242239</v>
      </c>
      <c r="E93" s="2">
        <v>63648432</v>
      </c>
      <c r="F93" s="2">
        <v>6560520</v>
      </c>
      <c r="G93" s="1">
        <v>388169</v>
      </c>
      <c r="H93" s="2">
        <v>147678</v>
      </c>
      <c r="I93" s="2">
        <v>-1041</v>
      </c>
    </row>
    <row r="94" spans="1:9" x14ac:dyDescent="0.4">
      <c r="A94" s="2">
        <v>2024</v>
      </c>
      <c r="B94" s="2" t="s">
        <v>25</v>
      </c>
      <c r="C94" s="2">
        <v>71518788</v>
      </c>
      <c r="D94" s="2">
        <v>45829736</v>
      </c>
      <c r="E94" s="2">
        <v>21506116</v>
      </c>
      <c r="F94" s="2">
        <v>4182936</v>
      </c>
      <c r="G94" s="1">
        <v>225159</v>
      </c>
      <c r="H94" s="2">
        <v>91975</v>
      </c>
      <c r="I94" s="2">
        <v>-248</v>
      </c>
    </row>
    <row r="95" spans="1:9" x14ac:dyDescent="0.4">
      <c r="A95" s="2">
        <v>2024</v>
      </c>
      <c r="B95" s="2" t="s">
        <v>26</v>
      </c>
      <c r="C95" s="2">
        <v>192291682</v>
      </c>
      <c r="D95" s="2">
        <v>74379751</v>
      </c>
      <c r="E95" s="2">
        <v>103831744</v>
      </c>
      <c r="F95" s="2">
        <v>14080187</v>
      </c>
      <c r="G95" s="1">
        <v>373773</v>
      </c>
      <c r="H95" s="2">
        <v>144665</v>
      </c>
      <c r="I95" s="2">
        <v>3</v>
      </c>
    </row>
    <row r="96" spans="1:9" x14ac:dyDescent="0.4">
      <c r="A96" s="2">
        <v>2024</v>
      </c>
      <c r="B96" s="2" t="s">
        <v>27</v>
      </c>
      <c r="C96" s="2">
        <v>127517515</v>
      </c>
      <c r="D96" s="2">
        <v>65399210</v>
      </c>
      <c r="E96" s="2">
        <v>57208566</v>
      </c>
      <c r="F96" s="2">
        <v>4909739</v>
      </c>
      <c r="G96" s="1">
        <v>375799</v>
      </c>
      <c r="H96" s="2">
        <v>106362</v>
      </c>
      <c r="I96" s="2">
        <v>212</v>
      </c>
    </row>
    <row r="97" spans="1:9" x14ac:dyDescent="0.4">
      <c r="A97" s="2">
        <v>2024</v>
      </c>
      <c r="B97" s="2" t="s">
        <v>28</v>
      </c>
      <c r="C97" s="2">
        <v>191528043</v>
      </c>
      <c r="D97" s="2">
        <v>91648849</v>
      </c>
      <c r="E97" s="2">
        <v>92102308</v>
      </c>
      <c r="F97" s="2">
        <v>7776886</v>
      </c>
      <c r="G97" s="1">
        <v>477812</v>
      </c>
      <c r="H97" s="2">
        <v>117936</v>
      </c>
      <c r="I97" s="2">
        <v>-950</v>
      </c>
    </row>
    <row r="98" spans="1:9" x14ac:dyDescent="0.4">
      <c r="A98" s="2">
        <v>2024</v>
      </c>
      <c r="B98" s="2" t="s">
        <v>29</v>
      </c>
      <c r="C98" s="2">
        <v>225955483</v>
      </c>
      <c r="D98" s="2">
        <v>81739104</v>
      </c>
      <c r="E98" s="2">
        <v>130172545</v>
      </c>
      <c r="F98" s="2">
        <v>14043834</v>
      </c>
      <c r="G98" s="1">
        <v>408376</v>
      </c>
      <c r="H98" s="2">
        <v>176628</v>
      </c>
      <c r="I98" s="2">
        <v>491</v>
      </c>
    </row>
    <row r="99" spans="1:9" x14ac:dyDescent="0.4">
      <c r="A99" s="2">
        <v>2024</v>
      </c>
      <c r="B99" s="2" t="s">
        <v>30</v>
      </c>
      <c r="C99" s="2">
        <v>322927844</v>
      </c>
      <c r="D99" s="2">
        <v>111266706</v>
      </c>
      <c r="E99" s="2">
        <v>179953430</v>
      </c>
      <c r="F99" s="2">
        <v>31707708</v>
      </c>
      <c r="G99" s="1">
        <v>557345</v>
      </c>
      <c r="H99" s="2">
        <v>256099</v>
      </c>
      <c r="I99" s="2">
        <v>5654</v>
      </c>
    </row>
    <row r="100" spans="1:9" x14ac:dyDescent="0.4">
      <c r="A100" s="2">
        <v>2024</v>
      </c>
      <c r="B100" s="2" t="s">
        <v>31</v>
      </c>
      <c r="C100" s="2">
        <v>208052956</v>
      </c>
      <c r="D100" s="2">
        <v>71926631</v>
      </c>
      <c r="E100" s="2">
        <v>120662352</v>
      </c>
      <c r="F100" s="2">
        <v>15463973</v>
      </c>
      <c r="G100" s="1">
        <v>650110</v>
      </c>
      <c r="H100" s="2">
        <v>244079</v>
      </c>
      <c r="I100" s="2">
        <v>-1518</v>
      </c>
    </row>
    <row r="101" spans="1:9" x14ac:dyDescent="0.4">
      <c r="A101" s="2">
        <v>2024</v>
      </c>
      <c r="B101" s="2" t="s">
        <v>32</v>
      </c>
      <c r="C101" s="2">
        <v>102160042</v>
      </c>
      <c r="D101" s="2">
        <v>38033929</v>
      </c>
      <c r="E101" s="2">
        <v>55794880</v>
      </c>
      <c r="F101" s="2">
        <v>8331233</v>
      </c>
      <c r="G101" s="1">
        <v>476942</v>
      </c>
      <c r="H101" s="2">
        <v>154522</v>
      </c>
      <c r="I101" s="2">
        <v>844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대중교통_이용건수</vt:lpstr>
      <vt:lpstr>대중교통 각 년 이용건수</vt:lpstr>
      <vt:lpstr>지역별 파이그래프</vt:lpstr>
      <vt:lpstr>지역별 누적 막대 그래프</vt:lpstr>
      <vt:lpstr>인구수 자동차등록대수 상관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2026-01-08T00:09:27Z</dcterms:created>
  <dcterms:modified xsi:type="dcterms:W3CDTF">2026-01-08T03:52:06Z</dcterms:modified>
</cp:coreProperties>
</file>